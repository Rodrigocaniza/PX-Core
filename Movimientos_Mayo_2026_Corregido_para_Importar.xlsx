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723952b8f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a30e7da57eb3496e"/>
    <x:sheet xmlns:r="http://schemas.openxmlformats.org/officeDocument/2006/relationships" name="Movimientos" sheetId="2" r:id="R2b8edd8238334b86"/>
    <x:sheet xmlns:r="http://schemas.openxmlformats.org/officeDocument/2006/relationships" name="Adicionales" sheetId="3" r:id="Rcbc7110757934a21"/>
    <x:sheet xmlns:r="http://schemas.openxmlformats.org/officeDocument/2006/relationships" name="Inversiones" sheetId="4" r:id="R4884fdc68794435e"/>
    <x:sheet xmlns:r="http://schemas.openxmlformats.org/officeDocument/2006/relationships" name="Prestamos" sheetId="5" r:id="Rdf484c67f40e4dc3"/>
    <x:sheet xmlns:r="http://schemas.openxmlformats.org/officeDocument/2006/relationships" name="Cuotas" sheetId="6" r:id="Rdb35b7f7d0344fa0"/>
    <x:sheet xmlns:r="http://schemas.openxmlformats.org/officeDocument/2006/relationships" name="Retiros socios" sheetId="7" r:id="R14a3eadb877f461e"/>
    <x:sheet xmlns:r="http://schemas.openxmlformats.org/officeDocument/2006/relationships" name="Liquidaciones" sheetId="8" r:id="R8878fd94382b4d7d"/>
    <x:sheet xmlns:r="http://schemas.openxmlformats.org/officeDocument/2006/relationships" name="Control" sheetId="9" r:id="R8c7e3050b263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-yyyy"/>
    <x:numFmt numFmtId="201" formatCode="#,##0"/>
    <x:numFmt numFmtId="202" formatCode="0"/>
    <x:numFmt numFmtId="203" formatCode="@"/>
    <x:numFmt numFmtId="204" formatCode="#,##0;[Red](#,##0);-"/>
  </x:numFmts>
  <x:fonts count="16">
    <x:font>
      <x:sz val="11"/>
      <x:name val="Carlito"/>
    </x:font>
    <x:font>
      <x:b/>
      <x:sz val="20"/>
      <x:color rgb="FFFFFFFF"/>
      <x:name val="Carlito"/>
    </x:font>
    <x:font>
      <x:sz val="11"/>
      <x:color rgb="FFFFFFFF"/>
      <x:name val="Carlito"/>
    </x:font>
    <x:font>
      <x:b/>
      <x:sz val="13"/>
      <x:color rgb="FFFFFFFF"/>
      <x:name val="Carlito"/>
    </x:font>
    <x:font>
      <x:b/>
      <x:sz val="11"/>
      <x:color rgb="FF246BFD"/>
      <x:name val="Carlito"/>
    </x:font>
    <x:font>
      <x:sz val="11"/>
      <x:color rgb="FF182230"/>
      <x:name val="Carlito"/>
    </x:font>
    <x:font>
      <x:b/>
      <x:sz val="11"/>
      <x:color rgb="FFFFFFFF"/>
      <x:name val="Carlito"/>
    </x:font>
    <x:font>
      <x:b/>
      <x:sz val="11"/>
      <x:color rgb="FF18A874"/>
      <x:name val="Carlito"/>
    </x:font>
    <x:font>
      <x:b/>
      <x:sz val="18"/>
      <x:color rgb="FFFFFFFF"/>
      <x:name val="Carlito"/>
    </x:font>
    <x:font>
      <x:sz val="10"/>
      <x:color rgb="FF617084"/>
      <x:name val="Carlito"/>
    </x:font>
    <x:font>
      <x:b/>
      <x:sz val="10"/>
      <x:color rgb="FFFFFFFF"/>
      <x:name val="Carlito"/>
    </x:font>
    <x:font>
      <x:b/>
      <x:sz val="11"/>
      <x:color rgb="FF182230"/>
      <x:name val="Carlito"/>
    </x:font>
    <x:font>
      <x:b/>
      <x:sz val="11"/>
      <x:color rgb="FFE99A35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1"/>
      <x:color rgb="FF205522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46BFD"/>
      </x:patternFill>
    </x:fill>
    <x:fill>
      <x:patternFill patternType="solid">
        <x:fgColor rgb="FFEAF1FF"/>
      </x:patternFill>
    </x:fill>
    <x:fill>
      <x:patternFill patternType="solid">
        <x:fgColor rgb="FF18A874"/>
      </x:patternFill>
    </x:fill>
    <x:fill>
      <x:patternFill patternType="solid">
        <x:fgColor rgb="FFE6F6F0"/>
      </x:patternFill>
    </x:fill>
    <x:fill>
      <x:patternFill patternType="solid">
        <x:fgColor rgb="FFFFF3E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30">
    <x:border/>
    <x:border>
      <x:bottom style="thin">
        <x:color rgb="FFDCE4EE"/>
      </x:bottom>
    </x:border>
    <x:border>
      <x:right style="thin">
        <x:color rgb="FFDCE4EE"/>
      </x:right>
      <x:bottom style="thin">
        <x:color rgb="FFDCE4EE"/>
      </x:bottom>
    </x:border>
    <x:border>
      <x:left style="thin">
        <x:color rgb="FFDCE4EE"/>
      </x:left>
      <x:right style="thin">
        <x:color rgb="FFDCE4EE"/>
      </x:right>
      <x:bottom style="thin">
        <x:color rgb="FFDCE4EE"/>
      </x:bottom>
    </x:border>
    <x:border>
      <x:left style="thin">
        <x:color rgb="FFDCE4EE"/>
      </x:left>
      <x:bottom style="thin">
        <x:color rgb="FFDCE4EE"/>
      </x:bottom>
    </x:border>
    <x:border>
      <x:right style="thin">
        <x:color rgb="FFDCE4EE"/>
      </x:right>
      <x:top style="thin">
        <x:color rgb="FFDCE4EE"/>
      </x:top>
      <x:bottom style="thin">
        <x:color rgb="FFDCE4EE"/>
      </x:bottom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</x:border>
    <x:border>
      <x:left style="thin">
        <x:color rgb="FFDCE4EE"/>
      </x:left>
      <x:top style="thin">
        <x:color rgb="FFDCE4EE"/>
      </x:top>
      <x:bottom style="thin">
        <x:color rgb="FFDCE4EE"/>
      </x:bottom>
    </x:border>
    <x:border>
      <x:right style="thin">
        <x:color rgb="FFDCE4EE"/>
      </x:right>
      <x:top style="thin">
        <x:color rgb="FFDCE4EE"/>
      </x:top>
    </x:border>
    <x:border>
      <x:left style="thin">
        <x:color rgb="FFDCE4EE"/>
      </x:left>
      <x:right style="thin">
        <x:color rgb="FFDCE4EE"/>
      </x:right>
      <x:top style="thin">
        <x:color rgb="FFDCE4EE"/>
      </x:top>
    </x:border>
    <x:border>
      <x:left style="thin">
        <x:color rgb="FFDCE4EE"/>
      </x:left>
      <x:top style="thin">
        <x:color rgb="FFDCE4EE"/>
      </x:top>
    </x:border>
    <x:border>
      <x:bottom style="medium">
        <x:color rgb="FF17324D"/>
      </x:bottom>
    </x:border>
    <x:border>
      <x:bottom style="thin">
        <x:color rgb="FFEDF1F5"/>
      </x:bottom>
    </x:border>
    <x:border>
      <x:top style="thin">
        <x:color rgb="FFEDF1F5"/>
      </x:top>
      <x:bottom style="thin">
        <x:color rgb="FFEDF1F5"/>
      </x:bottom>
    </x:border>
    <x:border>
      <x:top style="thin">
        <x:color rgb="FFEDF1F5"/>
      </x:top>
    </x:border>
    <x:border>
      <x:top style="thin">
        <x:color rgb="FFDCE4EE"/>
      </x:top>
      <x:bottom style="thin">
        <x:color rgb="FFDCE4EE"/>
      </x:bottom>
    </x:border>
    <x:border>
      <x:top style="thin">
        <x:color rgb="FFDCE4EE"/>
      </x:top>
    </x:border>
    <x:border>
      <x:bottom style="thin">
        <x:color rgb="FF9FBAD0"/>
      </x:bottom>
    </x:border>
    <x:border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bottom style="thin">
        <x:color rgb="FFD8E1E8"/>
      </x:bottom>
    </x:border>
    <x:border>
      <x:left style="thin">
        <x:color rgb="FFD8E1E8"/>
      </x:left>
      <x:bottom style="thin">
        <x:color rgb="FFD8E1E8"/>
      </x:bottom>
    </x:border>
    <x:border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thin">
        <x:color rgb="FFD8E1E8"/>
      </x:left>
      <x:top style="thin">
        <x:color rgb="FFD8E1E8"/>
      </x:top>
      <x:bottom style="thin">
        <x:color rgb="FFD8E1E8"/>
      </x:bottom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  <x:right style="thin">
        <x:color rgb="FFD8E1E8"/>
      </x:right>
      <x:top style="thin">
        <x:color rgb="FFD8E1E8"/>
      </x:top>
    </x:border>
    <x:border>
      <x:left style="thin">
        <x:color rgb="FFD8E1E8"/>
      </x:left>
      <x:top style="thin">
        <x:color rgb="FFD8E1E8"/>
      </x:top>
    </x:border>
    <x:border>
      <x:left style="medium">
        <x:color rgb="FF70AD47"/>
      </x:left>
      <x:top style="medium">
        <x:color rgb="FF70AD47"/>
      </x:top>
      <x:bottom style="medium">
        <x:color rgb="FF70AD47"/>
      </x:bottom>
    </x:border>
    <x:border>
      <x:top style="medium">
        <x:color rgb="FF70AD47"/>
      </x:top>
      <x:bottom style="medium">
        <x:color rgb="FF70AD47"/>
      </x:bottom>
    </x:border>
    <x:border>
      <x:right style="medium">
        <x:color rgb="FF70AD47"/>
      </x:right>
      <x:top style="medium">
        <x:color rgb="FF70AD47"/>
      </x:top>
      <x:bottom style="medium">
        <x:color rgb="FF70AD47"/>
      </x:bottom>
    </x:border>
  </x:borders>
  <x:cellStyleXfs count="1">
    <x:xf numFmtId="0" fontId="0" fillId="0" borderId="0"/>
  </x:cellStyleXfs>
  <x:cellXfs count="1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11" xfId="0" applyNumberFormat="1" applyFont="1" applyFill="1" applyBorder="1"/>
    <x:xf numFmtId="0" fontId="10" fillId="3" borderId="11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horizontal="center" wrapText="1"/>
    </x:xf>
    <x:xf numFmtId="0" fontId="10" fillId="3" borderId="1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200" fontId="5" fillId="6" borderId="12" xfId="0" applyNumberFormat="1" applyFont="1" applyFill="1" applyBorder="1"/>
    <x:xf numFmtId="200" fontId="5" fillId="6" borderId="13" xfId="0" applyNumberFormat="1" applyFont="1" applyFill="1" applyBorder="1"/>
    <x:xf numFmtId="200" fontId="5" fillId="6" borderId="14" xfId="0" applyNumberFormat="1" applyFont="1" applyFill="1" applyBorder="1"/>
    <x:xf numFmtId="201" fontId="5" fillId="6" borderId="12" xfId="0" applyNumberFormat="1" applyFont="1" applyFill="1" applyBorder="1"/>
    <x:xf numFmtId="201" fontId="5" fillId="6" borderId="13" xfId="0" applyNumberFormat="1" applyFont="1" applyFill="1" applyBorder="1"/>
    <x:xf numFmtId="201" fontId="5" fillId="6" borderId="14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202" fontId="5" fillId="6" borderId="12" xfId="0" applyNumberFormat="1" applyFont="1" applyFill="1" applyBorder="1"/>
    <x:xf numFmtId="202" fontId="5" fillId="6" borderId="13" xfId="0" applyNumberFormat="1" applyFont="1" applyFill="1" applyBorder="1"/>
    <x:xf numFmtId="202" fontId="5" fillId="6" borderId="14" xfId="0" applyNumberFormat="1" applyFont="1" applyFill="1" applyBorder="1"/>
    <x:xf numFmtId="203" fontId="5" fillId="6" borderId="12" xfId="0" applyNumberFormat="1" applyFont="1" applyFill="1" applyBorder="1"/>
    <x:xf numFmtId="203" fontId="5" fillId="6" borderId="13" xfId="0" applyNumberFormat="1" applyFont="1" applyFill="1" applyBorder="1"/>
    <x:xf numFmtId="203" fontId="5" fillId="6" borderId="14" xfId="0" applyNumberFormat="1" applyFont="1" applyFill="1" applyBorder="1"/>
    <x:xf numFmtId="201" fontId="5" fillId="7" borderId="12" xfId="0" applyNumberFormat="1" applyFont="1" applyFill="1" applyBorder="1"/>
    <x:xf numFmtId="201" fontId="5" fillId="7" borderId="13" xfId="0" applyNumberFormat="1" applyFont="1" applyFill="1" applyBorder="1"/>
    <x:xf numFmtId="201" fontId="5" fillId="7" borderId="14" xfId="0" applyNumberFormat="1" applyFont="1" applyFill="1" applyBorder="1"/>
    <x:xf numFmtId="202" fontId="5" fillId="7" borderId="12" xfId="0" applyNumberFormat="1" applyFont="1" applyFill="1" applyBorder="1"/>
    <x:xf numFmtId="202" fontId="5" fillId="7" borderId="13" xfId="0" applyNumberFormat="1" applyFont="1" applyFill="1" applyBorder="1"/>
    <x:xf numFmtId="202" fontId="5" fillId="7" borderId="14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11" fillId="0" borderId="1" xfId="0" applyNumberFormat="1" applyFont="1" applyFill="1" applyBorder="1"/>
    <x:xf numFmtId="0" fontId="11" fillId="0" borderId="15" xfId="0" applyNumberFormat="1" applyFont="1" applyFill="1" applyBorder="1"/>
    <x:xf numFmtId="0" fontId="11" fillId="0" borderId="16" xfId="0" applyNumberFormat="1" applyFont="1" applyFill="1" applyBorder="1"/>
    <x:xf numFmtId="202" fontId="0" fillId="0" borderId="1" xfId="0" applyNumberFormat="1" applyFont="1" applyFill="1" applyBorder="1"/>
    <x:xf numFmtId="202" fontId="0" fillId="0" borderId="15" xfId="0" applyNumberFormat="1" applyFont="1" applyFill="1" applyBorder="1"/>
    <x:xf numFmtId="202" fontId="0" fillId="0" borderId="16" xfId="0" applyNumberFormat="1" applyFont="1" applyFill="1" applyBorder="1"/>
    <x:xf numFmtId="201" fontId="0" fillId="0" borderId="1" xfId="0" applyNumberFormat="1" applyFont="1" applyFill="1" applyBorder="1"/>
    <x:xf numFmtId="201" fontId="0" fillId="0" borderId="15" xfId="0" applyNumberFormat="1" applyFont="1" applyFill="1" applyBorder="1"/>
    <x:xf numFmtId="201" fontId="0" fillId="0" borderId="16" xfId="0" applyNumberFormat="1" applyFont="1" applyFill="1" applyBorder="1"/>
    <x:xf numFmtId="202" fontId="0" fillId="6" borderId="1" xfId="0" applyNumberFormat="1" applyFont="1" applyFill="1" applyBorder="1"/>
    <x:xf numFmtId="201" fontId="0" fillId="6" borderId="1" xfId="0" applyNumberFormat="1" applyFont="1" applyFill="1" applyBorder="1"/>
    <x:xf numFmtId="202" fontId="0" fillId="6" borderId="15" xfId="0" applyNumberFormat="1" applyFont="1" applyFill="1" applyBorder="1"/>
    <x:xf numFmtId="201" fontId="0" fillId="6" borderId="15" xfId="0" applyNumberFormat="1" applyFont="1" applyFill="1" applyBorder="1"/>
    <x:xf numFmtId="202" fontId="0" fillId="6" borderId="16" xfId="0" applyNumberFormat="1" applyFont="1" applyFill="1" applyBorder="1"/>
    <x:xf numFmtId="201" fontId="0" fillId="6" borderId="16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3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17" xfId="0" applyNumberFormat="1" applyFont="1" applyFill="1" applyBorder="1"/>
    <x:xf numFmtId="0" fontId="14" fillId="9" borderId="17" xfId="0" applyNumberFormat="1" applyFont="1" applyFill="1" applyBorder="1" applyAlignment="1">
      <x:alignment horizontal="center"/>
    </x:xf>
    <x:xf numFmtId="0" fontId="14" fillId="9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204" fontId="0" fillId="0" borderId="19" xfId="0" applyNumberFormat="1" applyFont="1" applyFill="1" applyBorder="1"/>
    <x:xf numFmtId="204" fontId="0" fillId="0" borderId="20" xfId="0" applyNumberFormat="1" applyFont="1" applyFill="1" applyBorder="1"/>
    <x:xf numFmtId="204" fontId="0" fillId="0" borderId="22" xfId="0" applyNumberFormat="1" applyFont="1" applyFill="1" applyBorder="1"/>
    <x:xf numFmtId="204" fontId="0" fillId="0" borderId="23" xfId="0" applyNumberFormat="1" applyFont="1" applyFill="1" applyBorder="1"/>
    <x:xf numFmtId="204" fontId="0" fillId="0" borderId="25" xfId="0" applyNumberFormat="1" applyFont="1" applyFill="1" applyBorder="1"/>
    <x:xf numFmtId="204" fontId="0" fillId="0" borderId="26" xfId="0" applyNumberFormat="1" applyFont="1" applyFill="1" applyBorder="1"/>
    <x:xf numFmtId="0" fontId="0" fillId="10" borderId="0" xfId="0" applyNumberFormat="1" applyFont="1" applyFill="1" applyBorder="1"/>
    <x:xf numFmtId="0" fontId="15" fillId="10" borderId="0" xfId="0" applyNumberFormat="1" applyFont="1" applyFill="1" applyBorder="1"/>
    <x:xf numFmtId="0" fontId="15" fillId="10" borderId="27" xfId="0" applyNumberFormat="1" applyFont="1" applyFill="1" applyBorder="1"/>
    <x:xf numFmtId="0" fontId="15" fillId="10" borderId="28" xfId="0" applyNumberFormat="1" applyFont="1" applyFill="1" applyBorder="1"/>
    <x:xf numFmtId="0" fontId="15" fillId="10" borderId="29" xfId="0" applyNumberFormat="1" applyFont="1" applyFill="1" applyBorder="1"/>
    <x:xf numFmtId="0" fontId="15" fillId="10" borderId="29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54865ea8a48f5" /><Relationship Type="http://schemas.openxmlformats.org/officeDocument/2006/relationships/theme" Target="/xl/theme/theme1.xml" Id="R8fc12f8e41ea4cf1" /><Relationship Type="http://schemas.openxmlformats.org/officeDocument/2006/relationships/sharedStrings" Target="/xl/sharedStrings.xml" Id="Reec2409272e04c7d" /><Relationship Type="http://schemas.openxmlformats.org/officeDocument/2006/relationships/worksheet" Target="/xl/worksheets/sheet1.xml" Id="Ra30e7da57eb3496e" /><Relationship Type="http://schemas.openxmlformats.org/officeDocument/2006/relationships/worksheet" Target="/xl/worksheets/sheet2.xml" Id="R2b8edd8238334b86" /><Relationship Type="http://schemas.openxmlformats.org/officeDocument/2006/relationships/worksheet" Target="/xl/worksheets/sheet3.xml" Id="Rcbc7110757934a21" /><Relationship Type="http://schemas.openxmlformats.org/officeDocument/2006/relationships/worksheet" Target="/xl/worksheets/sheet4.xml" Id="R4884fdc68794435e" /><Relationship Type="http://schemas.openxmlformats.org/officeDocument/2006/relationships/worksheet" Target="/xl/worksheets/sheet5.xml" Id="Rdf484c67f40e4dc3" /><Relationship Type="http://schemas.openxmlformats.org/officeDocument/2006/relationships/worksheet" Target="/xl/worksheets/sheet6.xml" Id="Rdb35b7f7d0344fa0" /><Relationship Type="http://schemas.openxmlformats.org/officeDocument/2006/relationships/worksheet" Target="/xl/worksheets/sheet7.xml" Id="R14a3eadb877f461e" /><Relationship Type="http://schemas.openxmlformats.org/officeDocument/2006/relationships/worksheet" Target="/xl/worksheets/sheet8.xml" Id="R8878fd94382b4d7d" /><Relationship Type="http://schemas.openxmlformats.org/officeDocument/2006/relationships/worksheet" Target="/xl/worksheets/sheet9.xml" Id="R8c7e3050b26348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" t="str">
        <x:v>Plantilla de carga mensual — BC Gestión</x:v>
      </x:c>
      <x:c r="H1" s="4" t="str">
        <x:v>BC_GESTION_IMPORT_V1</x:v>
      </x:c>
    </x:row>
    <x:row r="3">
      <x:c r="A3" s="6" t="str">
        <x:v>Cómo usar esta plantilla</x:v>
      </x:c>
    </x:row>
    <x:row r="4" ht="30" customHeight="1">
      <x:c r="A4" s="9" t="str">
        <x:v>1</x:v>
      </x:c>
      <x:c r="B4" s="14" t="str">
        <x:v>Usá un archivo separado para cada mes.</x:v>
      </x:c>
      <x:c r="C4" s="14"/>
      <x:c r="D4" s="14"/>
      <x:c r="E4" s="14"/>
      <x:c r="F4" s="14"/>
    </x:row>
    <x:row r="5" ht="30" customHeight="1">
      <x:c r="A5" s="9" t="str">
        <x:v>2</x:v>
      </x:c>
      <x:c r="B5" s="14" t="str">
        <x:v>Completá solamente las hojas que correspondan. Las demás pueden quedar vacías.</x:v>
      </x:c>
      <x:c r="C5" s="14"/>
      <x:c r="D5" s="14"/>
      <x:c r="E5" s="14"/>
      <x:c r="F5" s="14"/>
    </x:row>
    <x:row r="6" ht="30" customHeight="1">
      <x:c r="A6" s="9" t="str">
        <x:v>3</x:v>
      </x:c>
      <x:c r="B6" s="14" t="str">
        <x:v>Las celdas verdes son datos principales; las naranjas son complementarias u opcionales.</x:v>
      </x:c>
      <x:c r="C6" s="14"/>
      <x:c r="D6" s="14"/>
      <x:c r="E6" s="14"/>
      <x:c r="F6" s="14"/>
    </x:row>
    <x:row r="7" ht="30" customHeight="1">
      <x:c r="A7" s="9" t="str">
        <x:v>4</x:v>
      </x:c>
      <x:c r="B7" s="14" t="str">
        <x:v>Escribí los montos como números. No hace falta poner Gs. ni puntos.</x:v>
      </x:c>
      <x:c r="C7" s="14"/>
      <x:c r="D7" s="14"/>
      <x:c r="E7" s="14"/>
      <x:c r="F7" s="14"/>
    </x:row>
    <x:row r="8" ht="30" customHeight="1">
      <x:c r="A8" s="9" t="str">
        <x:v>5</x:v>
      </x:c>
      <x:c r="B8" s="14" t="str">
        <x:v>No cambies los nombres de las hojas ni los encabezados.</x:v>
      </x:c>
      <x:c r="C8" s="14"/>
      <x:c r="D8" s="14"/>
      <x:c r="E8" s="14"/>
      <x:c r="F8" s="14"/>
    </x:row>
    <x:row r="9" ht="30" customHeight="1">
      <x:c r="A9" s="9" t="str">
        <x:v>6</x:v>
      </x:c>
      <x:c r="B9" s="15" t="str">
        <x:v>En BC Gestión elegí Movimientos → Importar desde Excel → Analizar Excel.</x:v>
      </x:c>
      <x:c r="C9" s="15"/>
      <x:c r="D9" s="15"/>
      <x:c r="E9" s="15"/>
      <x:c r="F9" s="15"/>
    </x:row>
    <x:row r="11">
      <x:c r="A11" s="17" t="str">
        <x:v>Tipo de movimiento</x:v>
      </x:c>
      <x:c r="B11" s="17" t="str">
        <x:v>Origen</x:v>
      </x:c>
      <x:c r="C11" s="17" t="str">
        <x:v>Destino</x:v>
      </x:c>
    </x:row>
    <x:row r="12" ht="34" customHeight="1">
      <x:c r="A12" s="36" t="str">
        <x:v>Ingreso</x:v>
      </x:c>
      <x:c r="B12" s="37" t="str">
        <x:v>Externo (puede quedar vacío)</x:v>
      </x:c>
      <x:c r="C12" s="38" t="str">
        <x:v>PC, MVPC, P2, MVP2 o ADMINISTRACIÓN</x:v>
      </x:c>
    </x:row>
    <x:row r="13" ht="34" customHeight="1">
      <x:c r="A13" s="39" t="str">
        <x:v>Egreso</x:v>
      </x:c>
      <x:c r="B13" s="40" t="str">
        <x:v>PC, MVPC, P2, MVP2 o ADMINISTRACIÓN</x:v>
      </x:c>
      <x:c r="C13" s="41" t="str">
        <x:v>Externo (puede quedar vacío)</x:v>
      </x:c>
    </x:row>
    <x:row r="14" ht="34" customHeight="1">
      <x:c r="A14" s="39" t="str">
        <x:v>Transferencia interna</x:v>
      </x:c>
      <x:c r="B14" s="40" t="str">
        <x:v>Una unidad</x:v>
      </x:c>
      <x:c r="C14" s="41" t="str">
        <x:v>Otra unidad</x:v>
      </x:c>
    </x:row>
    <x:row r="15" ht="34" customHeight="1">
      <x:c r="A15" s="39" t="str">
        <x:v>Depósito interno</x:v>
      </x:c>
      <x:c r="B15" s="40" t="str">
        <x:v>Unidad o nombre de quien deposita</x:v>
      </x:c>
      <x:c r="C15" s="41" t="str">
        <x:v>Banco de destino</x:v>
      </x:c>
    </x:row>
    <x:row r="16" ht="34" customHeight="1">
      <x:c r="A16" s="42" t="str">
        <x:v>Cobro externo</x:v>
      </x:c>
      <x:c r="B16" s="43" t="str">
        <x:v>Banco que recibió</x:v>
      </x:c>
      <x:c r="C16" s="44" t="str">
        <x:v>Unidad a la que corresponde</x:v>
      </x:c>
    </x:row>
    <x:row r="18">
      <x:c r="A18" s="46" t="str">
        <x:v>Ejemplo: 05-06-2026 | Ingreso | Externo | PC | 2.355.000</x:v>
      </x:c>
    </x:row>
  </x:sheetData>
  <x:mergeCells>
    <x:mergeCell ref="A1:F1"/>
    <x:mergeCell ref="A3:F3"/>
    <x:mergeCell ref="B4:F4"/>
    <x:mergeCell ref="B5:F5"/>
    <x:mergeCell ref="B6:F6"/>
    <x:mergeCell ref="B7:F7"/>
    <x:mergeCell ref="B8:F8"/>
    <x:mergeCell ref="B9:F9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</x:cols>
  <x:sheetData>
    <x:row r="1" ht="34" customHeight="1">
      <x:c r="A1" s="48" t="str">
        <x:v>Movimientos diarios</x:v>
      </x:c>
    </x:row>
    <x:row r="2" ht="36" customHeight="1">
      <x:c r="A2" s="51" t="str">
        <x:v>Una fila por registro. Para ingresos/egresos diarios podés cargar el total de cada unidad por fecha.</x:v>
      </x:c>
    </x:row>
    <x:row r="4" ht="32" customHeight="1">
      <x:c r="A4" s="56" t="str">
        <x:v>Fecha</x:v>
      </x:c>
      <x:c r="B4" s="56" t="str">
        <x:v>Tipo</x:v>
      </x:c>
      <x:c r="C4" s="56" t="str">
        <x:v>Origen</x:v>
      </x:c>
      <x:c r="D4" s="56" t="str">
        <x:v>Destino</x:v>
      </x:c>
      <x:c r="E4" s="56" t="str">
        <x:v>Monto</x:v>
      </x:c>
    </x:row>
    <x:row r="5">
      <x:c r="A5" s="61" t="n">
        <x:v>46144</x:v>
      </x:c>
      <x:c r="B5" s="58" t="str">
        <x:v>Ingreso</x:v>
      </x:c>
      <x:c r="C5" s="58" t="str">
        <x:v>Externo</x:v>
      </x:c>
      <x:c r="D5" s="58" t="str">
        <x:v>PC</x:v>
      </x:c>
      <x:c r="E5" s="64" t="n">
        <x:v>1650000</x:v>
      </x:c>
    </x:row>
    <x:row r="6">
      <x:c r="A6" s="62" t="n">
        <x:v>46144</x:v>
      </x:c>
      <x:c r="B6" s="59" t="str">
        <x:v>Egreso</x:v>
      </x:c>
      <x:c r="C6" s="59" t="str">
        <x:v>PC</x:v>
      </x:c>
      <x:c r="D6" s="59" t="str">
        <x:v>Externo</x:v>
      </x:c>
      <x:c r="E6" s="65" t="n">
        <x:v>20000</x:v>
      </x:c>
    </x:row>
    <x:row r="7">
      <x:c r="A7" s="62" t="n">
        <x:v>46144</x:v>
      </x:c>
      <x:c r="B7" s="59" t="str">
        <x:v>Ingreso</x:v>
      </x:c>
      <x:c r="C7" s="59" t="str">
        <x:v>Externo</x:v>
      </x:c>
      <x:c r="D7" s="59" t="str">
        <x:v>P2</x:v>
      </x:c>
      <x:c r="E7" s="65" t="n">
        <x:v>240000</x:v>
      </x:c>
    </x:row>
    <x:row r="8">
      <x:c r="A8" s="62" t="n">
        <x:v>46144</x:v>
      </x:c>
      <x:c r="B8" s="59" t="str">
        <x:v>Egreso</x:v>
      </x:c>
      <x:c r="C8" s="59" t="str">
        <x:v>P2</x:v>
      </x:c>
      <x:c r="D8" s="59" t="str">
        <x:v>Externo</x:v>
      </x:c>
      <x:c r="E8" s="65" t="n">
        <x:v>70000</x:v>
      </x:c>
    </x:row>
    <x:row r="9">
      <x:c r="A9" s="62" t="n">
        <x:v>46144</x:v>
      </x:c>
      <x:c r="B9" s="59" t="str">
        <x:v>Transferencia interna</x:v>
      </x:c>
      <x:c r="C9" s="59" t="str">
        <x:v>PC</x:v>
      </x:c>
      <x:c r="D9" s="59" t="str">
        <x:v>ADMINISTRACIÓN</x:v>
      </x:c>
      <x:c r="E9" s="65" t="n">
        <x:v>1000000</x:v>
      </x:c>
    </x:row>
    <x:row r="10">
      <x:c r="A10" s="62" t="n">
        <x:v>46146</x:v>
      </x:c>
      <x:c r="B10" s="59" t="str">
        <x:v>Ingreso</x:v>
      </x:c>
      <x:c r="C10" s="59" t="str">
        <x:v>Externo</x:v>
      </x:c>
      <x:c r="D10" s="59" t="str">
        <x:v>PC</x:v>
      </x:c>
      <x:c r="E10" s="65" t="n">
        <x:v>2789000</x:v>
      </x:c>
    </x:row>
    <x:row r="11">
      <x:c r="A11" s="62" t="n">
        <x:v>46146</x:v>
      </x:c>
      <x:c r="B11" s="59" t="str">
        <x:v>Egreso</x:v>
      </x:c>
      <x:c r="C11" s="59" t="str">
        <x:v>PC</x:v>
      </x:c>
      <x:c r="D11" s="59" t="str">
        <x:v>Externo</x:v>
      </x:c>
      <x:c r="E11" s="65" t="n">
        <x:v>413000</x:v>
      </x:c>
    </x:row>
    <x:row r="12">
      <x:c r="A12" s="62" t="n">
        <x:v>46146</x:v>
      </x:c>
      <x:c r="B12" s="59" t="str">
        <x:v>Ingreso</x:v>
      </x:c>
      <x:c r="C12" s="59" t="str">
        <x:v>Externo</x:v>
      </x:c>
      <x:c r="D12" s="59" t="str">
        <x:v>P2</x:v>
      </x:c>
      <x:c r="E12" s="65" t="n">
        <x:v>2237000</x:v>
      </x:c>
    </x:row>
    <x:row r="13">
      <x:c r="A13" s="62" t="n">
        <x:v>46146</x:v>
      </x:c>
      <x:c r="B13" s="59" t="str">
        <x:v>Egreso</x:v>
      </x:c>
      <x:c r="C13" s="59" t="str">
        <x:v>P2</x:v>
      </x:c>
      <x:c r="D13" s="59" t="str">
        <x:v>Externo</x:v>
      </x:c>
      <x:c r="E13" s="65" t="n">
        <x:v>50000</x:v>
      </x:c>
    </x:row>
    <x:row r="14">
      <x:c r="A14" s="62" t="n">
        <x:v>46146</x:v>
      </x:c>
      <x:c r="B14" s="59" t="str">
        <x:v>Ingreso</x:v>
      </x:c>
      <x:c r="C14" s="59" t="str">
        <x:v>Externo</x:v>
      </x:c>
      <x:c r="D14" s="59" t="str">
        <x:v>MVPC</x:v>
      </x:c>
      <x:c r="E14" s="65" t="n">
        <x:v>340000</x:v>
      </x:c>
    </x:row>
    <x:row r="15">
      <x:c r="A15" s="62" t="n">
        <x:v>46146</x:v>
      </x:c>
      <x:c r="B15" s="59" t="str">
        <x:v>Egreso</x:v>
      </x:c>
      <x:c r="C15" s="59" t="str">
        <x:v>MVPC</x:v>
      </x:c>
      <x:c r="D15" s="59" t="str">
        <x:v>Externo</x:v>
      </x:c>
      <x:c r="E15" s="65" t="n">
        <x:v>360000</x:v>
      </x:c>
    </x:row>
    <x:row r="16">
      <x:c r="A16" s="62" t="n">
        <x:v>46146</x:v>
      </x:c>
      <x:c r="B16" s="59" t="str">
        <x:v>Transferencia interna</x:v>
      </x:c>
      <x:c r="C16" s="59" t="str">
        <x:v>P2</x:v>
      </x:c>
      <x:c r="D16" s="59" t="str">
        <x:v>ADMINISTRACIÓN</x:v>
      </x:c>
      <x:c r="E16" s="65" t="n">
        <x:v>2500000</x:v>
      </x:c>
    </x:row>
    <x:row r="17">
      <x:c r="A17" s="62" t="n">
        <x:v>46147</x:v>
      </x:c>
      <x:c r="B17" s="59" t="str">
        <x:v>Ingreso</x:v>
      </x:c>
      <x:c r="C17" s="59" t="str">
        <x:v>Externo</x:v>
      </x:c>
      <x:c r="D17" s="59" t="str">
        <x:v>PC</x:v>
      </x:c>
      <x:c r="E17" s="65" t="n">
        <x:v>3565000</x:v>
      </x:c>
    </x:row>
    <x:row r="18">
      <x:c r="A18" s="62" t="n">
        <x:v>46147</x:v>
      </x:c>
      <x:c r="B18" s="59" t="str">
        <x:v>Egreso</x:v>
      </x:c>
      <x:c r="C18" s="59" t="str">
        <x:v>PC</x:v>
      </x:c>
      <x:c r="D18" s="59" t="str">
        <x:v>Externo</x:v>
      </x:c>
      <x:c r="E18" s="65" t="n">
        <x:v>134000</x:v>
      </x:c>
    </x:row>
    <x:row r="19">
      <x:c r="A19" s="62" t="n">
        <x:v>46147</x:v>
      </x:c>
      <x:c r="B19" s="59" t="str">
        <x:v>Ingreso</x:v>
      </x:c>
      <x:c r="C19" s="59" t="str">
        <x:v>Externo</x:v>
      </x:c>
      <x:c r="D19" s="59" t="str">
        <x:v>P2</x:v>
      </x:c>
      <x:c r="E19" s="65" t="n">
        <x:v>2961000</x:v>
      </x:c>
    </x:row>
    <x:row r="20">
      <x:c r="A20" s="62" t="n">
        <x:v>46147</x:v>
      </x:c>
      <x:c r="B20" s="59" t="str">
        <x:v>Egreso</x:v>
      </x:c>
      <x:c r="C20" s="59" t="str">
        <x:v>P2</x:v>
      </x:c>
      <x:c r="D20" s="59" t="str">
        <x:v>Externo</x:v>
      </x:c>
      <x:c r="E20" s="65" t="n">
        <x:v>79000</x:v>
      </x:c>
    </x:row>
    <x:row r="21">
      <x:c r="A21" s="62" t="n">
        <x:v>46147</x:v>
      </x:c>
      <x:c r="B21" s="59" t="str">
        <x:v>Ingreso</x:v>
      </x:c>
      <x:c r="C21" s="59" t="str">
        <x:v>Externo</x:v>
      </x:c>
      <x:c r="D21" s="59" t="str">
        <x:v>MVPC</x:v>
      </x:c>
      <x:c r="E21" s="65" t="n">
        <x:v>440000</x:v>
      </x:c>
    </x:row>
    <x:row r="22">
      <x:c r="A22" s="62" t="n">
        <x:v>46147</x:v>
      </x:c>
      <x:c r="B22" s="59" t="str">
        <x:v>Egreso</x:v>
      </x:c>
      <x:c r="C22" s="59" t="str">
        <x:v>MVPC</x:v>
      </x:c>
      <x:c r="D22" s="59" t="str">
        <x:v>Externo</x:v>
      </x:c>
      <x:c r="E22" s="65" t="n">
        <x:v>290000</x:v>
      </x:c>
    </x:row>
    <x:row r="23">
      <x:c r="A23" s="62" t="n">
        <x:v>46147</x:v>
      </x:c>
      <x:c r="B23" s="59" t="str">
        <x:v>Transferencia interna</x:v>
      </x:c>
      <x:c r="C23" s="59" t="str">
        <x:v>P2</x:v>
      </x:c>
      <x:c r="D23" s="59" t="str">
        <x:v>ADMINISTRACIÓN</x:v>
      </x:c>
      <x:c r="E23" s="65" t="n">
        <x:v>4500000</x:v>
      </x:c>
    </x:row>
    <x:row r="24">
      <x:c r="A24" s="62" t="n">
        <x:v>46148</x:v>
      </x:c>
      <x:c r="B24" s="59" t="str">
        <x:v>Ingreso</x:v>
      </x:c>
      <x:c r="C24" s="59" t="str">
        <x:v>Externo</x:v>
      </x:c>
      <x:c r="D24" s="59" t="str">
        <x:v>PC</x:v>
      </x:c>
      <x:c r="E24" s="65" t="n">
        <x:v>5383000</x:v>
      </x:c>
    </x:row>
    <x:row r="25">
      <x:c r="A25" s="62" t="n">
        <x:v>46148</x:v>
      </x:c>
      <x:c r="B25" s="59" t="str">
        <x:v>Egreso</x:v>
      </x:c>
      <x:c r="C25" s="59" t="str">
        <x:v>PC</x:v>
      </x:c>
      <x:c r="D25" s="59" t="str">
        <x:v>Externo</x:v>
      </x:c>
      <x:c r="E25" s="65" t="n">
        <x:v>50000</x:v>
      </x:c>
    </x:row>
    <x:row r="26">
      <x:c r="A26" s="62" t="n">
        <x:v>46148</x:v>
      </x:c>
      <x:c r="B26" s="59" t="str">
        <x:v>Ingreso</x:v>
      </x:c>
      <x:c r="C26" s="59" t="str">
        <x:v>Externo</x:v>
      </x:c>
      <x:c r="D26" s="59" t="str">
        <x:v>P2</x:v>
      </x:c>
      <x:c r="E26" s="65" t="n">
        <x:v>520000</x:v>
      </x:c>
    </x:row>
    <x:row r="27">
      <x:c r="A27" s="62" t="n">
        <x:v>46148</x:v>
      </x:c>
      <x:c r="B27" s="59" t="str">
        <x:v>Egreso</x:v>
      </x:c>
      <x:c r="C27" s="59" t="str">
        <x:v>P2</x:v>
      </x:c>
      <x:c r="D27" s="59" t="str">
        <x:v>Externo</x:v>
      </x:c>
      <x:c r="E27" s="65" t="n">
        <x:v>63000</x:v>
      </x:c>
    </x:row>
    <x:row r="28">
      <x:c r="A28" s="62" t="n">
        <x:v>46148</x:v>
      </x:c>
      <x:c r="B28" s="59" t="str">
        <x:v>Ingreso</x:v>
      </x:c>
      <x:c r="C28" s="59" t="str">
        <x:v>Externo</x:v>
      </x:c>
      <x:c r="D28" s="59" t="str">
        <x:v>MVPC</x:v>
      </x:c>
      <x:c r="E28" s="65" t="n">
        <x:v>660000</x:v>
      </x:c>
    </x:row>
    <x:row r="29">
      <x:c r="A29" s="62" t="n">
        <x:v>46148</x:v>
      </x:c>
      <x:c r="B29" s="59" t="str">
        <x:v>Egreso</x:v>
      </x:c>
      <x:c r="C29" s="59" t="str">
        <x:v>MVPC</x:v>
      </x:c>
      <x:c r="D29" s="59" t="str">
        <x:v>Externo</x:v>
      </x:c>
      <x:c r="E29" s="65" t="n">
        <x:v>770000</x:v>
      </x:c>
    </x:row>
    <x:row r="30">
      <x:c r="A30" s="62" t="n">
        <x:v>46148</x:v>
      </x:c>
      <x:c r="B30" s="59" t="str">
        <x:v>Transferencia interna</x:v>
      </x:c>
      <x:c r="C30" s="59" t="str">
        <x:v>PC</x:v>
      </x:c>
      <x:c r="D30" s="59" t="str">
        <x:v>ADMINISTRACIÓN</x:v>
      </x:c>
      <x:c r="E30" s="65" t="n">
        <x:v>2600000</x:v>
      </x:c>
    </x:row>
    <x:row r="31">
      <x:c r="A31" s="62" t="n">
        <x:v>46148</x:v>
      </x:c>
      <x:c r="B31" s="59" t="str">
        <x:v>Transferencia interna</x:v>
      </x:c>
      <x:c r="C31" s="59" t="str">
        <x:v>ADMINISTRACIÓN</x:v>
      </x:c>
      <x:c r="D31" s="59" t="str">
        <x:v>MVPC</x:v>
      </x:c>
      <x:c r="E31" s="65" t="n">
        <x:v>1000000</x:v>
      </x:c>
    </x:row>
    <x:row r="32">
      <x:c r="A32" s="62" t="n">
        <x:v>46148</x:v>
      </x:c>
      <x:c r="B32" s="59" t="str">
        <x:v>Transferencia interna</x:v>
      </x:c>
      <x:c r="C32" s="59" t="str">
        <x:v>ADMINISTRACIÓN</x:v>
      </x:c>
      <x:c r="D32" s="59" t="str">
        <x:v>PC</x:v>
      </x:c>
      <x:c r="E32" s="65" t="n">
        <x:v>122000</x:v>
      </x:c>
    </x:row>
    <x:row r="33">
      <x:c r="A33" s="62" t="n">
        <x:v>46149</x:v>
      </x:c>
      <x:c r="B33" s="59" t="str">
        <x:v>Ingreso</x:v>
      </x:c>
      <x:c r="C33" s="59" t="str">
        <x:v>Externo</x:v>
      </x:c>
      <x:c r="D33" s="59" t="str">
        <x:v>PC</x:v>
      </x:c>
      <x:c r="E33" s="65" t="n">
        <x:v>6974000</x:v>
      </x:c>
    </x:row>
    <x:row r="34">
      <x:c r="A34" s="62" t="n">
        <x:v>46149</x:v>
      </x:c>
      <x:c r="B34" s="59" t="str">
        <x:v>Egreso</x:v>
      </x:c>
      <x:c r="C34" s="59" t="str">
        <x:v>PC</x:v>
      </x:c>
      <x:c r="D34" s="59" t="str">
        <x:v>Externo</x:v>
      </x:c>
      <x:c r="E34" s="65" t="n">
        <x:v>50000</x:v>
      </x:c>
    </x:row>
    <x:row r="35">
      <x:c r="A35" s="62" t="n">
        <x:v>46149</x:v>
      </x:c>
      <x:c r="B35" s="59" t="str">
        <x:v>Ingreso</x:v>
      </x:c>
      <x:c r="C35" s="59" t="str">
        <x:v>Externo</x:v>
      </x:c>
      <x:c r="D35" s="59" t="str">
        <x:v>P2</x:v>
      </x:c>
      <x:c r="E35" s="65" t="n">
        <x:v>286000</x:v>
      </x:c>
    </x:row>
    <x:row r="36">
      <x:c r="A36" s="62" t="n">
        <x:v>46149</x:v>
      </x:c>
      <x:c r="B36" s="59" t="str">
        <x:v>Egreso</x:v>
      </x:c>
      <x:c r="C36" s="59" t="str">
        <x:v>P2</x:v>
      </x:c>
      <x:c r="D36" s="59" t="str">
        <x:v>Externo</x:v>
      </x:c>
      <x:c r="E36" s="65" t="n">
        <x:v>50000</x:v>
      </x:c>
    </x:row>
    <x:row r="37">
      <x:c r="A37" s="62" t="n">
        <x:v>46149</x:v>
      </x:c>
      <x:c r="B37" s="59" t="str">
        <x:v>Ingreso</x:v>
      </x:c>
      <x:c r="C37" s="59" t="str">
        <x:v>Externo</x:v>
      </x:c>
      <x:c r="D37" s="59" t="str">
        <x:v>MVPC</x:v>
      </x:c>
      <x:c r="E37" s="65" t="n">
        <x:v>440000</x:v>
      </x:c>
    </x:row>
    <x:row r="38">
      <x:c r="A38" s="62" t="n">
        <x:v>46149</x:v>
      </x:c>
      <x:c r="B38" s="59" t="str">
        <x:v>Egreso</x:v>
      </x:c>
      <x:c r="C38" s="59" t="str">
        <x:v>MVPC</x:v>
      </x:c>
      <x:c r="D38" s="59" t="str">
        <x:v>Externo</x:v>
      </x:c>
      <x:c r="E38" s="65" t="n">
        <x:v>600000</x:v>
      </x:c>
    </x:row>
    <x:row r="39">
      <x:c r="A39" s="62" t="n">
        <x:v>46150</x:v>
      </x:c>
      <x:c r="B39" s="59" t="str">
        <x:v>Ingreso</x:v>
      </x:c>
      <x:c r="C39" s="59" t="str">
        <x:v>Externo</x:v>
      </x:c>
      <x:c r="D39" s="59" t="str">
        <x:v>PC</x:v>
      </x:c>
      <x:c r="E39" s="65" t="n">
        <x:v>4558000</x:v>
      </x:c>
    </x:row>
    <x:row r="40">
      <x:c r="A40" s="62" t="n">
        <x:v>46150</x:v>
      </x:c>
      <x:c r="B40" s="59" t="str">
        <x:v>Egreso</x:v>
      </x:c>
      <x:c r="C40" s="59" t="str">
        <x:v>PC</x:v>
      </x:c>
      <x:c r="D40" s="59" t="str">
        <x:v>Externo</x:v>
      </x:c>
      <x:c r="E40" s="65" t="n">
        <x:v>1731000</x:v>
      </x:c>
    </x:row>
    <x:row r="41">
      <x:c r="A41" s="62" t="n">
        <x:v>46150</x:v>
      </x:c>
      <x:c r="B41" s="59" t="str">
        <x:v>Ingreso</x:v>
      </x:c>
      <x:c r="C41" s="59" t="str">
        <x:v>Externo</x:v>
      </x:c>
      <x:c r="D41" s="59" t="str">
        <x:v>P2</x:v>
      </x:c>
      <x:c r="E41" s="65" t="n">
        <x:v>3323000</x:v>
      </x:c>
    </x:row>
    <x:row r="42">
      <x:c r="A42" s="62" t="n">
        <x:v>46150</x:v>
      </x:c>
      <x:c r="B42" s="59" t="str">
        <x:v>Egreso</x:v>
      </x:c>
      <x:c r="C42" s="59" t="str">
        <x:v>P2</x:v>
      </x:c>
      <x:c r="D42" s="59" t="str">
        <x:v>Externo</x:v>
      </x:c>
      <x:c r="E42" s="65" t="n">
        <x:v>18000</x:v>
      </x:c>
    </x:row>
    <x:row r="43">
      <x:c r="A43" s="62" t="n">
        <x:v>46150</x:v>
      </x:c>
      <x:c r="B43" s="59" t="str">
        <x:v>Egreso</x:v>
      </x:c>
      <x:c r="C43" s="59" t="str">
        <x:v>MVPC</x:v>
      </x:c>
      <x:c r="D43" s="59" t="str">
        <x:v>Externo</x:v>
      </x:c>
      <x:c r="E43" s="65" t="n">
        <x:v>250000</x:v>
      </x:c>
    </x:row>
    <x:row r="44">
      <x:c r="A44" s="62" t="n">
        <x:v>46150</x:v>
      </x:c>
      <x:c r="B44" s="59" t="str">
        <x:v>Ingreso</x:v>
      </x:c>
      <x:c r="C44" s="59" t="str">
        <x:v>Externo</x:v>
      </x:c>
      <x:c r="D44" s="59" t="str">
        <x:v>MVP2</x:v>
      </x:c>
      <x:c r="E44" s="65" t="n">
        <x:v>2220000</x:v>
      </x:c>
    </x:row>
    <x:row r="45">
      <x:c r="A45" s="62" t="n">
        <x:v>46150</x:v>
      </x:c>
      <x:c r="B45" s="59" t="str">
        <x:v>Egreso</x:v>
      </x:c>
      <x:c r="C45" s="59" t="str">
        <x:v>MVP2</x:v>
      </x:c>
      <x:c r="D45" s="59" t="str">
        <x:v>Externo</x:v>
      </x:c>
      <x:c r="E45" s="65" t="n">
        <x:v>2605000</x:v>
      </x:c>
    </x:row>
    <x:row r="46">
      <x:c r="A46" s="62" t="n">
        <x:v>46150</x:v>
      </x:c>
      <x:c r="B46" s="59" t="str">
        <x:v>Transferencia interna</x:v>
      </x:c>
      <x:c r="C46" s="59" t="str">
        <x:v>P2</x:v>
      </x:c>
      <x:c r="D46" s="59" t="str">
        <x:v>ADMINISTRACIÓN</x:v>
      </x:c>
      <x:c r="E46" s="65" t="n">
        <x:v>2500000</x:v>
      </x:c>
    </x:row>
    <x:row r="47">
      <x:c r="A47" s="62" t="n">
        <x:v>46150</x:v>
      </x:c>
      <x:c r="B47" s="59" t="str">
        <x:v>Transferencia interna</x:v>
      </x:c>
      <x:c r="C47" s="59" t="str">
        <x:v>ADMINISTRACIÓN</x:v>
      </x:c>
      <x:c r="D47" s="59" t="str">
        <x:v>PC</x:v>
      </x:c>
      <x:c r="E47" s="65" t="n">
        <x:v>57000</x:v>
      </x:c>
    </x:row>
    <x:row r="48">
      <x:c r="A48" s="62" t="n">
        <x:v>46150</x:v>
      </x:c>
      <x:c r="B48" s="59" t="str">
        <x:v>Transferencia interna</x:v>
      </x:c>
      <x:c r="C48" s="59" t="str">
        <x:v>ADMINISTRACIÓN</x:v>
      </x:c>
      <x:c r="D48" s="59" t="str">
        <x:v>MVP2</x:v>
      </x:c>
      <x:c r="E48" s="65" t="n">
        <x:v>525000</x:v>
      </x:c>
    </x:row>
    <x:row r="49">
      <x:c r="A49" s="62" t="n">
        <x:v>46151</x:v>
      </x:c>
      <x:c r="B49" s="59" t="str">
        <x:v>Ingreso</x:v>
      </x:c>
      <x:c r="C49" s="59" t="str">
        <x:v>Externo</x:v>
      </x:c>
      <x:c r="D49" s="59" t="str">
        <x:v>PC</x:v>
      </x:c>
      <x:c r="E49" s="65" t="n">
        <x:v>7279000</x:v>
      </x:c>
    </x:row>
    <x:row r="50">
      <x:c r="A50" s="62" t="n">
        <x:v>46151</x:v>
      </x:c>
      <x:c r="B50" s="59" t="str">
        <x:v>Egreso</x:v>
      </x:c>
      <x:c r="C50" s="59" t="str">
        <x:v>PC</x:v>
      </x:c>
      <x:c r="D50" s="59" t="str">
        <x:v>Externo</x:v>
      </x:c>
      <x:c r="E50" s="65" t="n">
        <x:v>50000</x:v>
      </x:c>
    </x:row>
    <x:row r="51">
      <x:c r="A51" s="62" t="n">
        <x:v>46151</x:v>
      </x:c>
      <x:c r="B51" s="59" t="str">
        <x:v>Ingreso</x:v>
      </x:c>
      <x:c r="C51" s="59" t="str">
        <x:v>Externo</x:v>
      </x:c>
      <x:c r="D51" s="59" t="str">
        <x:v>P2</x:v>
      </x:c>
      <x:c r="E51" s="65" t="n">
        <x:v>1032000</x:v>
      </x:c>
    </x:row>
    <x:row r="52">
      <x:c r="A52" s="62" t="n">
        <x:v>46151</x:v>
      </x:c>
      <x:c r="B52" s="59" t="str">
        <x:v>Egreso</x:v>
      </x:c>
      <x:c r="C52" s="59" t="str">
        <x:v>P2</x:v>
      </x:c>
      <x:c r="D52" s="59" t="str">
        <x:v>Externo</x:v>
      </x:c>
      <x:c r="E52" s="65" t="n">
        <x:v>45000</x:v>
      </x:c>
    </x:row>
    <x:row r="53">
      <x:c r="A53" s="62" t="n">
        <x:v>46151</x:v>
      </x:c>
      <x:c r="B53" s="59" t="str">
        <x:v>Ingreso</x:v>
      </x:c>
      <x:c r="C53" s="59" t="str">
        <x:v>Externo</x:v>
      </x:c>
      <x:c r="D53" s="59" t="str">
        <x:v>MVPC</x:v>
      </x:c>
      <x:c r="E53" s="65" t="n">
        <x:v>560000</x:v>
      </x:c>
    </x:row>
    <x:row r="54">
      <x:c r="A54" s="62" t="n">
        <x:v>46151</x:v>
      </x:c>
      <x:c r="B54" s="59" t="str">
        <x:v>Egreso</x:v>
      </x:c>
      <x:c r="C54" s="59" t="str">
        <x:v>MVPC</x:v>
      </x:c>
      <x:c r="D54" s="59" t="str">
        <x:v>Externo</x:v>
      </x:c>
      <x:c r="E54" s="65" t="n">
        <x:v>440000</x:v>
      </x:c>
    </x:row>
    <x:row r="55">
      <x:c r="A55" s="62" t="n">
        <x:v>46153</x:v>
      </x:c>
      <x:c r="B55" s="59" t="str">
        <x:v>Ingreso</x:v>
      </x:c>
      <x:c r="C55" s="59" t="str">
        <x:v>Externo</x:v>
      </x:c>
      <x:c r="D55" s="59" t="str">
        <x:v>PC</x:v>
      </x:c>
      <x:c r="E55" s="65" t="n">
        <x:v>5546000</x:v>
      </x:c>
    </x:row>
    <x:row r="56">
      <x:c r="A56" s="62" t="n">
        <x:v>46153</x:v>
      </x:c>
      <x:c r="B56" s="59" t="str">
        <x:v>Egreso</x:v>
      </x:c>
      <x:c r="C56" s="59" t="str">
        <x:v>PC</x:v>
      </x:c>
      <x:c r="D56" s="59" t="str">
        <x:v>Externo</x:v>
      </x:c>
      <x:c r="E56" s="65" t="n">
        <x:v>218500</x:v>
      </x:c>
    </x:row>
    <x:row r="57">
      <x:c r="A57" s="62" t="n">
        <x:v>46153</x:v>
      </x:c>
      <x:c r="B57" s="59" t="str">
        <x:v>Ingreso</x:v>
      </x:c>
      <x:c r="C57" s="59" t="str">
        <x:v>Externo</x:v>
      </x:c>
      <x:c r="D57" s="59" t="str">
        <x:v>P2</x:v>
      </x:c>
      <x:c r="E57" s="65" t="n">
        <x:v>1341000</x:v>
      </x:c>
    </x:row>
    <x:row r="58">
      <x:c r="A58" s="62" t="n">
        <x:v>46153</x:v>
      </x:c>
      <x:c r="B58" s="59" t="str">
        <x:v>Egreso</x:v>
      </x:c>
      <x:c r="C58" s="59" t="str">
        <x:v>P2</x:v>
      </x:c>
      <x:c r="D58" s="59" t="str">
        <x:v>Externo</x:v>
      </x:c>
      <x:c r="E58" s="65" t="n">
        <x:v>277000</x:v>
      </x:c>
    </x:row>
    <x:row r="59">
      <x:c r="A59" s="62" t="n">
        <x:v>46153</x:v>
      </x:c>
      <x:c r="B59" s="59" t="str">
        <x:v>Ingreso</x:v>
      </x:c>
      <x:c r="C59" s="59" t="str">
        <x:v>Externo</x:v>
      </x:c>
      <x:c r="D59" s="59" t="str">
        <x:v>MVPC</x:v>
      </x:c>
      <x:c r="E59" s="65" t="n">
        <x:v>500000</x:v>
      </x:c>
    </x:row>
    <x:row r="60">
      <x:c r="A60" s="62" t="n">
        <x:v>46153</x:v>
      </x:c>
      <x:c r="B60" s="59" t="str">
        <x:v>Egreso</x:v>
      </x:c>
      <x:c r="C60" s="59" t="str">
        <x:v>MVPC</x:v>
      </x:c>
      <x:c r="D60" s="59" t="str">
        <x:v>Externo</x:v>
      </x:c>
      <x:c r="E60" s="65" t="n">
        <x:v>540000</x:v>
      </x:c>
    </x:row>
    <x:row r="61">
      <x:c r="A61" s="62" t="n">
        <x:v>46154</x:v>
      </x:c>
      <x:c r="B61" s="59" t="str">
        <x:v>Ingreso</x:v>
      </x:c>
      <x:c r="C61" s="59" t="str">
        <x:v>Externo</x:v>
      </x:c>
      <x:c r="D61" s="59" t="str">
        <x:v>PC</x:v>
      </x:c>
      <x:c r="E61" s="65" t="n">
        <x:v>4922000</x:v>
      </x:c>
    </x:row>
    <x:row r="62">
      <x:c r="A62" s="62" t="n">
        <x:v>46154</x:v>
      </x:c>
      <x:c r="B62" s="59" t="str">
        <x:v>Egreso</x:v>
      </x:c>
      <x:c r="C62" s="59" t="str">
        <x:v>PC</x:v>
      </x:c>
      <x:c r="D62" s="59" t="str">
        <x:v>Externo</x:v>
      </x:c>
      <x:c r="E62" s="65" t="n">
        <x:v>844000</x:v>
      </x:c>
    </x:row>
    <x:row r="63">
      <x:c r="A63" s="62" t="n">
        <x:v>46154</x:v>
      </x:c>
      <x:c r="B63" s="59" t="str">
        <x:v>Ingreso</x:v>
      </x:c>
      <x:c r="C63" s="59" t="str">
        <x:v>Externo</x:v>
      </x:c>
      <x:c r="D63" s="59" t="str">
        <x:v>P2</x:v>
      </x:c>
      <x:c r="E63" s="65" t="n">
        <x:v>1746000</x:v>
      </x:c>
    </x:row>
    <x:row r="64">
      <x:c r="A64" s="62" t="n">
        <x:v>46154</x:v>
      </x:c>
      <x:c r="B64" s="59" t="str">
        <x:v>Egreso</x:v>
      </x:c>
      <x:c r="C64" s="59" t="str">
        <x:v>P2</x:v>
      </x:c>
      <x:c r="D64" s="59" t="str">
        <x:v>Externo</x:v>
      </x:c>
      <x:c r="E64" s="65" t="n">
        <x:v>1594000</x:v>
      </x:c>
    </x:row>
    <x:row r="65">
      <x:c r="A65" s="62" t="n">
        <x:v>46154</x:v>
      </x:c>
      <x:c r="B65" s="59" t="str">
        <x:v>Ingreso</x:v>
      </x:c>
      <x:c r="C65" s="59" t="str">
        <x:v>Externo</x:v>
      </x:c>
      <x:c r="D65" s="59" t="str">
        <x:v>MVPC</x:v>
      </x:c>
      <x:c r="E65" s="65" t="n">
        <x:v>560000</x:v>
      </x:c>
    </x:row>
    <x:row r="66">
      <x:c r="A66" s="62" t="n">
        <x:v>46154</x:v>
      </x:c>
      <x:c r="B66" s="59" t="str">
        <x:v>Egreso</x:v>
      </x:c>
      <x:c r="C66" s="59" t="str">
        <x:v>MVPC</x:v>
      </x:c>
      <x:c r="D66" s="59" t="str">
        <x:v>Externo</x:v>
      </x:c>
      <x:c r="E66" s="65" t="n">
        <x:v>470000</x:v>
      </x:c>
    </x:row>
    <x:row r="67">
      <x:c r="A67" s="62" t="n">
        <x:v>46154</x:v>
      </x:c>
      <x:c r="B67" s="59" t="str">
        <x:v>Transferencia interna</x:v>
      </x:c>
      <x:c r="C67" s="59" t="str">
        <x:v>ADMINISTRACIÓN</x:v>
      </x:c>
      <x:c r="D67" s="59" t="str">
        <x:v>MVPC</x:v>
      </x:c>
      <x:c r="E67" s="65" t="n">
        <x:v>1000000</x:v>
      </x:c>
    </x:row>
    <x:row r="68">
      <x:c r="A68" s="62" t="n">
        <x:v>46155</x:v>
      </x:c>
      <x:c r="B68" s="59" t="str">
        <x:v>Ingreso</x:v>
      </x:c>
      <x:c r="C68" s="59" t="str">
        <x:v>Externo</x:v>
      </x:c>
      <x:c r="D68" s="59" t="str">
        <x:v>PC</x:v>
      </x:c>
      <x:c r="E68" s="65" t="n">
        <x:v>4418000</x:v>
      </x:c>
    </x:row>
    <x:row r="69">
      <x:c r="A69" s="62" t="n">
        <x:v>46155</x:v>
      </x:c>
      <x:c r="B69" s="59" t="str">
        <x:v>Egreso</x:v>
      </x:c>
      <x:c r="C69" s="59" t="str">
        <x:v>PC</x:v>
      </x:c>
      <x:c r="D69" s="59" t="str">
        <x:v>Externo</x:v>
      </x:c>
      <x:c r="E69" s="65" t="n">
        <x:v>50000</x:v>
      </x:c>
    </x:row>
    <x:row r="70">
      <x:c r="A70" s="62" t="n">
        <x:v>46155</x:v>
      </x:c>
      <x:c r="B70" s="59" t="str">
        <x:v>Ingreso</x:v>
      </x:c>
      <x:c r="C70" s="59" t="str">
        <x:v>Externo</x:v>
      </x:c>
      <x:c r="D70" s="59" t="str">
        <x:v>P2</x:v>
      </x:c>
      <x:c r="E70" s="65" t="n">
        <x:v>871000</x:v>
      </x:c>
    </x:row>
    <x:row r="71">
      <x:c r="A71" s="62" t="n">
        <x:v>46155</x:v>
      </x:c>
      <x:c r="B71" s="59" t="str">
        <x:v>Egreso</x:v>
      </x:c>
      <x:c r="C71" s="59" t="str">
        <x:v>P2</x:v>
      </x:c>
      <x:c r="D71" s="59" t="str">
        <x:v>Externo</x:v>
      </x:c>
      <x:c r="E71" s="65" t="n">
        <x:v>25000</x:v>
      </x:c>
    </x:row>
    <x:row r="72">
      <x:c r="A72" s="62" t="n">
        <x:v>46155</x:v>
      </x:c>
      <x:c r="B72" s="59" t="str">
        <x:v>Ingreso</x:v>
      </x:c>
      <x:c r="C72" s="59" t="str">
        <x:v>Externo</x:v>
      </x:c>
      <x:c r="D72" s="59" t="str">
        <x:v>MVPC</x:v>
      </x:c>
      <x:c r="E72" s="65" t="n">
        <x:v>220000</x:v>
      </x:c>
    </x:row>
    <x:row r="73">
      <x:c r="A73" s="62" t="n">
        <x:v>46155</x:v>
      </x:c>
      <x:c r="B73" s="59" t="str">
        <x:v>Egreso</x:v>
      </x:c>
      <x:c r="C73" s="59" t="str">
        <x:v>MVPC</x:v>
      </x:c>
      <x:c r="D73" s="59" t="str">
        <x:v>Externo</x:v>
      </x:c>
      <x:c r="E73" s="65" t="n">
        <x:v>490000</x:v>
      </x:c>
    </x:row>
    <x:row r="74">
      <x:c r="A74" s="62" t="n">
        <x:v>46155</x:v>
      </x:c>
      <x:c r="B74" s="59" t="str">
        <x:v>Transferencia interna</x:v>
      </x:c>
      <x:c r="C74" s="59" t="str">
        <x:v>PC</x:v>
      </x:c>
      <x:c r="D74" s="59" t="str">
        <x:v>ADMINISTRACIÓN</x:v>
      </x:c>
      <x:c r="E74" s="65" t="n">
        <x:v>2000000</x:v>
      </x:c>
    </x:row>
    <x:row r="75">
      <x:c r="A75" s="62" t="n">
        <x:v>46155</x:v>
      </x:c>
      <x:c r="B75" s="59" t="str">
        <x:v>Transferencia interna</x:v>
      </x:c>
      <x:c r="C75" s="59" t="str">
        <x:v>ADMINISTRACIÓN</x:v>
      </x:c>
      <x:c r="D75" s="59" t="str">
        <x:v>MVPC</x:v>
      </x:c>
      <x:c r="E75" s="65" t="n">
        <x:v>1000000</x:v>
      </x:c>
    </x:row>
    <x:row r="76">
      <x:c r="A76" s="62" t="n">
        <x:v>46158</x:v>
      </x:c>
      <x:c r="B76" s="59" t="str">
        <x:v>Ingreso</x:v>
      </x:c>
      <x:c r="C76" s="59" t="str">
        <x:v>Externo</x:v>
      </x:c>
      <x:c r="D76" s="59" t="str">
        <x:v>PC</x:v>
      </x:c>
      <x:c r="E76" s="65" t="n">
        <x:v>3668000</x:v>
      </x:c>
    </x:row>
    <x:row r="77">
      <x:c r="A77" s="62" t="n">
        <x:v>46158</x:v>
      </x:c>
      <x:c r="B77" s="59" t="str">
        <x:v>Egreso</x:v>
      </x:c>
      <x:c r="C77" s="59" t="str">
        <x:v>PC</x:v>
      </x:c>
      <x:c r="D77" s="59" t="str">
        <x:v>Externo</x:v>
      </x:c>
      <x:c r="E77" s="65" t="n">
        <x:v>50000</x:v>
      </x:c>
    </x:row>
    <x:row r="78">
      <x:c r="A78" s="62" t="n">
        <x:v>46158</x:v>
      </x:c>
      <x:c r="B78" s="59" t="str">
        <x:v>Ingreso</x:v>
      </x:c>
      <x:c r="C78" s="59" t="str">
        <x:v>Externo</x:v>
      </x:c>
      <x:c r="D78" s="59" t="str">
        <x:v>P2</x:v>
      </x:c>
      <x:c r="E78" s="65" t="n">
        <x:v>720000</x:v>
      </x:c>
    </x:row>
    <x:row r="79">
      <x:c r="A79" s="62" t="n">
        <x:v>46158</x:v>
      </x:c>
      <x:c r="B79" s="59" t="str">
        <x:v>Egreso</x:v>
      </x:c>
      <x:c r="C79" s="59" t="str">
        <x:v>P2</x:v>
      </x:c>
      <x:c r="D79" s="59" t="str">
        <x:v>Externo</x:v>
      </x:c>
      <x:c r="E79" s="65" t="n">
        <x:v>80000</x:v>
      </x:c>
    </x:row>
    <x:row r="80">
      <x:c r="A80" s="62" t="n">
        <x:v>46158</x:v>
      </x:c>
      <x:c r="B80" s="59" t="str">
        <x:v>Ingreso</x:v>
      </x:c>
      <x:c r="C80" s="59" t="str">
        <x:v>Externo</x:v>
      </x:c>
      <x:c r="D80" s="59" t="str">
        <x:v>MVPC</x:v>
      </x:c>
      <x:c r="E80" s="65" t="n">
        <x:v>440000</x:v>
      </x:c>
    </x:row>
    <x:row r="81">
      <x:c r="A81" s="62" t="n">
        <x:v>46158</x:v>
      </x:c>
      <x:c r="B81" s="59" t="str">
        <x:v>Egreso</x:v>
      </x:c>
      <x:c r="C81" s="59" t="str">
        <x:v>MVPC</x:v>
      </x:c>
      <x:c r="D81" s="59" t="str">
        <x:v>Externo</x:v>
      </x:c>
      <x:c r="E81" s="65" t="n">
        <x:v>520000</x:v>
      </x:c>
    </x:row>
    <x:row r="82">
      <x:c r="A82" s="62" t="n">
        <x:v>46160</x:v>
      </x:c>
      <x:c r="B82" s="59" t="str">
        <x:v>Ingreso</x:v>
      </x:c>
      <x:c r="C82" s="59" t="str">
        <x:v>Externo</x:v>
      </x:c>
      <x:c r="D82" s="59" t="str">
        <x:v>PC</x:v>
      </x:c>
      <x:c r="E82" s="65" t="n">
        <x:v>4890000</x:v>
      </x:c>
    </x:row>
    <x:row r="83">
      <x:c r="A83" s="62" t="n">
        <x:v>46160</x:v>
      </x:c>
      <x:c r="B83" s="59" t="str">
        <x:v>Egreso</x:v>
      </x:c>
      <x:c r="C83" s="59" t="str">
        <x:v>PC</x:v>
      </x:c>
      <x:c r="D83" s="59" t="str">
        <x:v>Externo</x:v>
      </x:c>
      <x:c r="E83" s="65" t="n">
        <x:v>50000</x:v>
      </x:c>
    </x:row>
    <x:row r="84">
      <x:c r="A84" s="62" t="n">
        <x:v>46160</x:v>
      </x:c>
      <x:c r="B84" s="59" t="str">
        <x:v>Ingreso</x:v>
      </x:c>
      <x:c r="C84" s="59" t="str">
        <x:v>Externo</x:v>
      </x:c>
      <x:c r="D84" s="59" t="str">
        <x:v>P2</x:v>
      </x:c>
      <x:c r="E84" s="65" t="n">
        <x:v>798000</x:v>
      </x:c>
    </x:row>
    <x:row r="85">
      <x:c r="A85" s="62" t="n">
        <x:v>46160</x:v>
      </x:c>
      <x:c r="B85" s="59" t="str">
        <x:v>Egreso</x:v>
      </x:c>
      <x:c r="C85" s="59" t="str">
        <x:v>P2</x:v>
      </x:c>
      <x:c r="D85" s="59" t="str">
        <x:v>Externo</x:v>
      </x:c>
      <x:c r="E85" s="65" t="n">
        <x:v>20000</x:v>
      </x:c>
    </x:row>
    <x:row r="86">
      <x:c r="A86" s="62" t="n">
        <x:v>46160</x:v>
      </x:c>
      <x:c r="B86" s="59" t="str">
        <x:v>Ingreso</x:v>
      </x:c>
      <x:c r="C86" s="59" t="str">
        <x:v>Externo</x:v>
      </x:c>
      <x:c r="D86" s="59" t="str">
        <x:v>MVPC</x:v>
      </x:c>
      <x:c r="E86" s="65" t="n">
        <x:v>1100000</x:v>
      </x:c>
    </x:row>
    <x:row r="87">
      <x:c r="A87" s="62" t="n">
        <x:v>46160</x:v>
      </x:c>
      <x:c r="B87" s="59" t="str">
        <x:v>Egreso</x:v>
      </x:c>
      <x:c r="C87" s="59" t="str">
        <x:v>MVPC</x:v>
      </x:c>
      <x:c r="D87" s="59" t="str">
        <x:v>Externo</x:v>
      </x:c>
      <x:c r="E87" s="65" t="n">
        <x:v>450000</x:v>
      </x:c>
    </x:row>
    <x:row r="88">
      <x:c r="A88" s="62" t="n">
        <x:v>46160</x:v>
      </x:c>
      <x:c r="B88" s="59" t="str">
        <x:v>Transferencia interna</x:v>
      </x:c>
      <x:c r="C88" s="59" t="str">
        <x:v>PC</x:v>
      </x:c>
      <x:c r="D88" s="59" t="str">
        <x:v>ADMINISTRACIÓN</x:v>
      </x:c>
      <x:c r="E88" s="65" t="n">
        <x:v>1100000</x:v>
      </x:c>
    </x:row>
    <x:row r="89">
      <x:c r="A89" s="62" t="n">
        <x:v>46160</x:v>
      </x:c>
      <x:c r="B89" s="59" t="str">
        <x:v>Transferencia interna</x:v>
      </x:c>
      <x:c r="C89" s="59" t="str">
        <x:v>P2</x:v>
      </x:c>
      <x:c r="D89" s="59" t="str">
        <x:v>ADMINISTRACIÓN</x:v>
      </x:c>
      <x:c r="E89" s="65" t="n">
        <x:v>1100000</x:v>
      </x:c>
    </x:row>
    <x:row r="90">
      <x:c r="A90" s="62" t="n">
        <x:v>46161</x:v>
      </x:c>
      <x:c r="B90" s="59" t="str">
        <x:v>Ingreso</x:v>
      </x:c>
      <x:c r="C90" s="59" t="str">
        <x:v>Externo</x:v>
      </x:c>
      <x:c r="D90" s="59" t="str">
        <x:v>PC</x:v>
      </x:c>
      <x:c r="E90" s="65" t="n">
        <x:v>2639000</x:v>
      </x:c>
    </x:row>
    <x:row r="91">
      <x:c r="A91" s="62" t="n">
        <x:v>46161</x:v>
      </x:c>
      <x:c r="B91" s="59" t="str">
        <x:v>Egreso</x:v>
      </x:c>
      <x:c r="C91" s="59" t="str">
        <x:v>PC</x:v>
      </x:c>
      <x:c r="D91" s="59" t="str">
        <x:v>Externo</x:v>
      </x:c>
      <x:c r="E91" s="65" t="n">
        <x:v>50000</x:v>
      </x:c>
    </x:row>
    <x:row r="92">
      <x:c r="A92" s="62" t="n">
        <x:v>46161</x:v>
      </x:c>
      <x:c r="B92" s="59" t="str">
        <x:v>Ingreso</x:v>
      </x:c>
      <x:c r="C92" s="59" t="str">
        <x:v>Externo</x:v>
      </x:c>
      <x:c r="D92" s="59" t="str">
        <x:v>P2</x:v>
      </x:c>
      <x:c r="E92" s="65" t="n">
        <x:v>945000</x:v>
      </x:c>
    </x:row>
    <x:row r="93">
      <x:c r="A93" s="62" t="n">
        <x:v>46161</x:v>
      </x:c>
      <x:c r="B93" s="59" t="str">
        <x:v>Egreso</x:v>
      </x:c>
      <x:c r="C93" s="59" t="str">
        <x:v>P2</x:v>
      </x:c>
      <x:c r="D93" s="59" t="str">
        <x:v>Externo</x:v>
      </x:c>
      <x:c r="E93" s="65" t="n">
        <x:v>45000</x:v>
      </x:c>
    </x:row>
    <x:row r="94">
      <x:c r="A94" s="62" t="n">
        <x:v>46161</x:v>
      </x:c>
      <x:c r="B94" s="59" t="str">
        <x:v>Ingreso</x:v>
      </x:c>
      <x:c r="C94" s="59" t="str">
        <x:v>Externo</x:v>
      </x:c>
      <x:c r="D94" s="59" t="str">
        <x:v>MVPC</x:v>
      </x:c>
      <x:c r="E94" s="65" t="n">
        <x:v>490000</x:v>
      </x:c>
    </x:row>
    <x:row r="95">
      <x:c r="A95" s="62" t="n">
        <x:v>46161</x:v>
      </x:c>
      <x:c r="B95" s="59" t="str">
        <x:v>Egreso</x:v>
      </x:c>
      <x:c r="C95" s="59" t="str">
        <x:v>MVPC</x:v>
      </x:c>
      <x:c r="D95" s="59" t="str">
        <x:v>Externo</x:v>
      </x:c>
      <x:c r="E95" s="65" t="n">
        <x:v>638900</x:v>
      </x:c>
    </x:row>
    <x:row r="96">
      <x:c r="A96" s="62" t="n">
        <x:v>46161</x:v>
      </x:c>
      <x:c r="B96" s="59" t="str">
        <x:v>Transferencia interna</x:v>
      </x:c>
      <x:c r="C96" s="59" t="str">
        <x:v>PC</x:v>
      </x:c>
      <x:c r="D96" s="59" t="str">
        <x:v>ADMINISTRACIÓN</x:v>
      </x:c>
      <x:c r="E96" s="65" t="n">
        <x:v>700000</x:v>
      </x:c>
    </x:row>
    <x:row r="97">
      <x:c r="A97" s="62" t="n">
        <x:v>46161</x:v>
      </x:c>
      <x:c r="B97" s="59" t="str">
        <x:v>Transferencia interna</x:v>
      </x:c>
      <x:c r="C97" s="59" t="str">
        <x:v>P2</x:v>
      </x:c>
      <x:c r="D97" s="59" t="str">
        <x:v>ADMINISTRACIÓN</x:v>
      </x:c>
      <x:c r="E97" s="65" t="n">
        <x:v>700000</x:v>
      </x:c>
    </x:row>
    <x:row r="98">
      <x:c r="A98" s="62" t="n">
        <x:v>46162</x:v>
      </x:c>
      <x:c r="B98" s="59" t="str">
        <x:v>Ingreso</x:v>
      </x:c>
      <x:c r="C98" s="59" t="str">
        <x:v>Externo</x:v>
      </x:c>
      <x:c r="D98" s="59" t="str">
        <x:v>PC</x:v>
      </x:c>
      <x:c r="E98" s="65" t="n">
        <x:v>5637000</x:v>
      </x:c>
    </x:row>
    <x:row r="99">
      <x:c r="A99" s="62" t="n">
        <x:v>46162</x:v>
      </x:c>
      <x:c r="B99" s="59" t="str">
        <x:v>Egreso</x:v>
      </x:c>
      <x:c r="C99" s="59" t="str">
        <x:v>PC</x:v>
      </x:c>
      <x:c r="D99" s="59" t="str">
        <x:v>Externo</x:v>
      </x:c>
      <x:c r="E99" s="65" t="n">
        <x:v>50000</x:v>
      </x:c>
    </x:row>
    <x:row r="100">
      <x:c r="A100" s="62" t="n">
        <x:v>46162</x:v>
      </x:c>
      <x:c r="B100" s="59" t="str">
        <x:v>Ingreso</x:v>
      </x:c>
      <x:c r="C100" s="59" t="str">
        <x:v>Externo</x:v>
      </x:c>
      <x:c r="D100" s="59" t="str">
        <x:v>P2</x:v>
      </x:c>
      <x:c r="E100" s="65" t="n">
        <x:v>135000</x:v>
      </x:c>
    </x:row>
    <x:row r="101">
      <x:c r="A101" s="62" t="n">
        <x:v>46162</x:v>
      </x:c>
      <x:c r="B101" s="59" t="str">
        <x:v>Egreso</x:v>
      </x:c>
      <x:c r="C101" s="59" t="str">
        <x:v>P2</x:v>
      </x:c>
      <x:c r="D101" s="59" t="str">
        <x:v>Externo</x:v>
      </x:c>
      <x:c r="E101" s="65" t="n">
        <x:v>110500</x:v>
      </x:c>
    </x:row>
    <x:row r="102">
      <x:c r="A102" s="62" t="n">
        <x:v>46162</x:v>
      </x:c>
      <x:c r="B102" s="59" t="str">
        <x:v>Ingreso</x:v>
      </x:c>
      <x:c r="C102" s="59" t="str">
        <x:v>Externo</x:v>
      </x:c>
      <x:c r="D102" s="59" t="str">
        <x:v>MVPC</x:v>
      </x:c>
      <x:c r="E102" s="65" t="n">
        <x:v>120000</x:v>
      </x:c>
    </x:row>
    <x:row r="103">
      <x:c r="A103" s="62" t="n">
        <x:v>46162</x:v>
      </x:c>
      <x:c r="B103" s="59" t="str">
        <x:v>Egreso</x:v>
      </x:c>
      <x:c r="C103" s="59" t="str">
        <x:v>MVPC</x:v>
      </x:c>
      <x:c r="D103" s="59" t="str">
        <x:v>Externo</x:v>
      </x:c>
      <x:c r="E103" s="65" t="n">
        <x:v>350000</x:v>
      </x:c>
    </x:row>
    <x:row r="104">
      <x:c r="A104" s="62" t="n">
        <x:v>46163</x:v>
      </x:c>
      <x:c r="B104" s="59" t="str">
        <x:v>Ingreso</x:v>
      </x:c>
      <x:c r="C104" s="59" t="str">
        <x:v>Externo</x:v>
      </x:c>
      <x:c r="D104" s="59" t="str">
        <x:v>PC</x:v>
      </x:c>
      <x:c r="E104" s="65" t="n">
        <x:v>1942000</x:v>
      </x:c>
    </x:row>
    <x:row r="105">
      <x:c r="A105" s="62" t="n">
        <x:v>46163</x:v>
      </x:c>
      <x:c r="B105" s="59" t="str">
        <x:v>Egreso</x:v>
      </x:c>
      <x:c r="C105" s="59" t="str">
        <x:v>PC</x:v>
      </x:c>
      <x:c r="D105" s="59" t="str">
        <x:v>Externo</x:v>
      </x:c>
      <x:c r="E105" s="65" t="n">
        <x:v>97000</x:v>
      </x:c>
    </x:row>
    <x:row r="106">
      <x:c r="A106" s="62" t="n">
        <x:v>46163</x:v>
      </x:c>
      <x:c r="B106" s="59" t="str">
        <x:v>Ingreso</x:v>
      </x:c>
      <x:c r="C106" s="59" t="str">
        <x:v>Externo</x:v>
      </x:c>
      <x:c r="D106" s="59" t="str">
        <x:v>P2</x:v>
      </x:c>
      <x:c r="E106" s="65" t="n">
        <x:v>1496000</x:v>
      </x:c>
    </x:row>
    <x:row r="107">
      <x:c r="A107" s="62" t="n">
        <x:v>46163</x:v>
      </x:c>
      <x:c r="B107" s="59" t="str">
        <x:v>Egreso</x:v>
      </x:c>
      <x:c r="C107" s="59" t="str">
        <x:v>P2</x:v>
      </x:c>
      <x:c r="D107" s="59" t="str">
        <x:v>Externo</x:v>
      </x:c>
      <x:c r="E107" s="65" t="n">
        <x:v>297500</x:v>
      </x:c>
    </x:row>
    <x:row r="108">
      <x:c r="A108" s="62" t="n">
        <x:v>46163</x:v>
      </x:c>
      <x:c r="B108" s="59" t="str">
        <x:v>Ingreso</x:v>
      </x:c>
      <x:c r="C108" s="59" t="str">
        <x:v>Externo</x:v>
      </x:c>
      <x:c r="D108" s="59" t="str">
        <x:v>MVPC</x:v>
      </x:c>
      <x:c r="E108" s="65" t="n">
        <x:v>1120000</x:v>
      </x:c>
    </x:row>
    <x:row r="109">
      <x:c r="A109" s="62" t="n">
        <x:v>46163</x:v>
      </x:c>
      <x:c r="B109" s="59" t="str">
        <x:v>Egreso</x:v>
      </x:c>
      <x:c r="C109" s="59" t="str">
        <x:v>MVPC</x:v>
      </x:c>
      <x:c r="D109" s="59" t="str">
        <x:v>Externo</x:v>
      </x:c>
      <x:c r="E109" s="65" t="n">
        <x:v>590000</x:v>
      </x:c>
    </x:row>
    <x:row r="110">
      <x:c r="A110" s="62" t="n">
        <x:v>46163</x:v>
      </x:c>
      <x:c r="B110" s="59" t="str">
        <x:v>Transferencia interna</x:v>
      </x:c>
      <x:c r="C110" s="59" t="str">
        <x:v>PC</x:v>
      </x:c>
      <x:c r="D110" s="59" t="str">
        <x:v>ADMINISTRACIÓN</x:v>
      </x:c>
      <x:c r="E110" s="65" t="n">
        <x:v>1200000</x:v>
      </x:c>
    </x:row>
    <x:row r="111">
      <x:c r="A111" s="62" t="n">
        <x:v>46164</x:v>
      </x:c>
      <x:c r="B111" s="59" t="str">
        <x:v>Ingreso</x:v>
      </x:c>
      <x:c r="C111" s="59" t="str">
        <x:v>Externo</x:v>
      </x:c>
      <x:c r="D111" s="59" t="str">
        <x:v>PC</x:v>
      </x:c>
      <x:c r="E111" s="65" t="n">
        <x:v>2762000</x:v>
      </x:c>
    </x:row>
    <x:row r="112">
      <x:c r="A112" s="62" t="n">
        <x:v>46164</x:v>
      </x:c>
      <x:c r="B112" s="59" t="str">
        <x:v>Egreso</x:v>
      </x:c>
      <x:c r="C112" s="59" t="str">
        <x:v>PC</x:v>
      </x:c>
      <x:c r="D112" s="59" t="str">
        <x:v>Externo</x:v>
      </x:c>
      <x:c r="E112" s="65" t="n">
        <x:v>50000</x:v>
      </x:c>
    </x:row>
    <x:row r="113">
      <x:c r="A113" s="62" t="n">
        <x:v>46164</x:v>
      </x:c>
      <x:c r="B113" s="59" t="str">
        <x:v>Ingreso</x:v>
      </x:c>
      <x:c r="C113" s="59" t="str">
        <x:v>Externo</x:v>
      </x:c>
      <x:c r="D113" s="59" t="str">
        <x:v>P2</x:v>
      </x:c>
      <x:c r="E113" s="65" t="n">
        <x:v>1626000</x:v>
      </x:c>
    </x:row>
    <x:row r="114">
      <x:c r="A114" s="62" t="n">
        <x:v>46164</x:v>
      </x:c>
      <x:c r="B114" s="59" t="str">
        <x:v>Egreso</x:v>
      </x:c>
      <x:c r="C114" s="59" t="str">
        <x:v>P2</x:v>
      </x:c>
      <x:c r="D114" s="59" t="str">
        <x:v>Externo</x:v>
      </x:c>
      <x:c r="E114" s="65" t="n">
        <x:v>30000</x:v>
      </x:c>
    </x:row>
    <x:row r="115">
      <x:c r="A115" s="62" t="n">
        <x:v>46164</x:v>
      </x:c>
      <x:c r="B115" s="59" t="str">
        <x:v>Ingreso</x:v>
      </x:c>
      <x:c r="C115" s="59" t="str">
        <x:v>Externo</x:v>
      </x:c>
      <x:c r="D115" s="59" t="str">
        <x:v>MVPC</x:v>
      </x:c>
      <x:c r="E115" s="65" t="n">
        <x:v>340000</x:v>
      </x:c>
    </x:row>
    <x:row r="116">
      <x:c r="A116" s="62" t="n">
        <x:v>46164</x:v>
      </x:c>
      <x:c r="B116" s="59" t="str">
        <x:v>Egreso</x:v>
      </x:c>
      <x:c r="C116" s="59" t="str">
        <x:v>MVPC</x:v>
      </x:c>
      <x:c r="D116" s="59" t="str">
        <x:v>Externo</x:v>
      </x:c>
      <x:c r="E116" s="65" t="n">
        <x:v>410000</x:v>
      </x:c>
    </x:row>
    <x:row r="117">
      <x:c r="A117" s="62" t="n">
        <x:v>46164</x:v>
      </x:c>
      <x:c r="B117" s="59" t="str">
        <x:v>Transferencia interna</x:v>
      </x:c>
      <x:c r="C117" s="59" t="str">
        <x:v>PC</x:v>
      </x:c>
      <x:c r="D117" s="59" t="str">
        <x:v>ADMINISTRACIÓN</x:v>
      </x:c>
      <x:c r="E117" s="65" t="n">
        <x:v>1100000</x:v>
      </x:c>
    </x:row>
    <x:row r="118">
      <x:c r="A118" s="62" t="n">
        <x:v>46165</x:v>
      </x:c>
      <x:c r="B118" s="59" t="str">
        <x:v>Ingreso</x:v>
      </x:c>
      <x:c r="C118" s="59" t="str">
        <x:v>Externo</x:v>
      </x:c>
      <x:c r="D118" s="59" t="str">
        <x:v>PC</x:v>
      </x:c>
      <x:c r="E118" s="65" t="n">
        <x:v>405000</x:v>
      </x:c>
    </x:row>
    <x:row r="119">
      <x:c r="A119" s="62" t="n">
        <x:v>46165</x:v>
      </x:c>
      <x:c r="B119" s="59" t="str">
        <x:v>Egreso</x:v>
      </x:c>
      <x:c r="C119" s="59" t="str">
        <x:v>PC</x:v>
      </x:c>
      <x:c r="D119" s="59" t="str">
        <x:v>Externo</x:v>
      </x:c>
      <x:c r="E119" s="65" t="n">
        <x:v>50000</x:v>
      </x:c>
    </x:row>
    <x:row r="120">
      <x:c r="A120" s="62" t="n">
        <x:v>46165</x:v>
      </x:c>
      <x:c r="B120" s="59" t="str">
        <x:v>Ingreso</x:v>
      </x:c>
      <x:c r="C120" s="59" t="str">
        <x:v>Externo</x:v>
      </x:c>
      <x:c r="D120" s="59" t="str">
        <x:v>P2</x:v>
      </x:c>
      <x:c r="E120" s="65" t="n">
        <x:v>1822000</x:v>
      </x:c>
    </x:row>
    <x:row r="121">
      <x:c r="A121" s="62" t="n">
        <x:v>46165</x:v>
      </x:c>
      <x:c r="B121" s="59" t="str">
        <x:v>Egreso</x:v>
      </x:c>
      <x:c r="C121" s="59" t="str">
        <x:v>P2</x:v>
      </x:c>
      <x:c r="D121" s="59" t="str">
        <x:v>Externo</x:v>
      </x:c>
      <x:c r="E121" s="65" t="n">
        <x:v>20000</x:v>
      </x:c>
    </x:row>
    <x:row r="122">
      <x:c r="A122" s="62" t="n">
        <x:v>46165</x:v>
      </x:c>
      <x:c r="B122" s="59" t="str">
        <x:v>Ingreso</x:v>
      </x:c>
      <x:c r="C122" s="59" t="str">
        <x:v>Externo</x:v>
      </x:c>
      <x:c r="D122" s="59" t="str">
        <x:v>MVPC</x:v>
      </x:c>
      <x:c r="E122" s="65" t="n">
        <x:v>220000</x:v>
      </x:c>
    </x:row>
    <x:row r="123">
      <x:c r="A123" s="62" t="n">
        <x:v>46165</x:v>
      </x:c>
      <x:c r="B123" s="59" t="str">
        <x:v>Egreso</x:v>
      </x:c>
      <x:c r="C123" s="59" t="str">
        <x:v>MVPC</x:v>
      </x:c>
      <x:c r="D123" s="59" t="str">
        <x:v>Externo</x:v>
      </x:c>
      <x:c r="E123" s="65" t="n">
        <x:v>590000</x:v>
      </x:c>
    </x:row>
    <x:row r="124">
      <x:c r="A124" s="62" t="n">
        <x:v>46167</x:v>
      </x:c>
      <x:c r="B124" s="59" t="str">
        <x:v>Ingreso</x:v>
      </x:c>
      <x:c r="C124" s="59" t="str">
        <x:v>Externo</x:v>
      </x:c>
      <x:c r="D124" s="59" t="str">
        <x:v>PC</x:v>
      </x:c>
      <x:c r="E124" s="65" t="n">
        <x:v>3766000</x:v>
      </x:c>
    </x:row>
    <x:row r="125">
      <x:c r="A125" s="62" t="n">
        <x:v>46167</x:v>
      </x:c>
      <x:c r="B125" s="59" t="str">
        <x:v>Egreso</x:v>
      </x:c>
      <x:c r="C125" s="59" t="str">
        <x:v>PC</x:v>
      </x:c>
      <x:c r="D125" s="59" t="str">
        <x:v>Externo</x:v>
      </x:c>
      <x:c r="E125" s="65" t="n">
        <x:v>744000</x:v>
      </x:c>
    </x:row>
    <x:row r="126">
      <x:c r="A126" s="62" t="n">
        <x:v>46167</x:v>
      </x:c>
      <x:c r="B126" s="59" t="str">
        <x:v>Ingreso</x:v>
      </x:c>
      <x:c r="C126" s="59" t="str">
        <x:v>Externo</x:v>
      </x:c>
      <x:c r="D126" s="59" t="str">
        <x:v>P2</x:v>
      </x:c>
      <x:c r="E126" s="65" t="n">
        <x:v>1371000</x:v>
      </x:c>
    </x:row>
    <x:row r="127">
      <x:c r="A127" s="62" t="n">
        <x:v>46167</x:v>
      </x:c>
      <x:c r="B127" s="59" t="str">
        <x:v>Egreso</x:v>
      </x:c>
      <x:c r="C127" s="59" t="str">
        <x:v>P2</x:v>
      </x:c>
      <x:c r="D127" s="59" t="str">
        <x:v>Externo</x:v>
      </x:c>
      <x:c r="E127" s="65" t="n">
        <x:v>20000</x:v>
      </x:c>
    </x:row>
    <x:row r="128">
      <x:c r="A128" s="62" t="n">
        <x:v>46167</x:v>
      </x:c>
      <x:c r="B128" s="59" t="str">
        <x:v>Ingreso</x:v>
      </x:c>
      <x:c r="C128" s="59" t="str">
        <x:v>Externo</x:v>
      </x:c>
      <x:c r="D128" s="59" t="str">
        <x:v>MVPC</x:v>
      </x:c>
      <x:c r="E128" s="65" t="n">
        <x:v>680000</x:v>
      </x:c>
    </x:row>
    <x:row r="129">
      <x:c r="A129" s="62" t="n">
        <x:v>46167</x:v>
      </x:c>
      <x:c r="B129" s="59" t="str">
        <x:v>Egreso</x:v>
      </x:c>
      <x:c r="C129" s="59" t="str">
        <x:v>MVPC</x:v>
      </x:c>
      <x:c r="D129" s="59" t="str">
        <x:v>Externo</x:v>
      </x:c>
      <x:c r="E129" s="65" t="n">
        <x:v>890000</x:v>
      </x:c>
    </x:row>
    <x:row r="130">
      <x:c r="A130" s="62" t="n">
        <x:v>46167</x:v>
      </x:c>
      <x:c r="B130" s="59" t="str">
        <x:v>Transferencia interna</x:v>
      </x:c>
      <x:c r="C130" s="59" t="str">
        <x:v>PC</x:v>
      </x:c>
      <x:c r="D130" s="59" t="str">
        <x:v>ADMINISTRACIÓN</x:v>
      </x:c>
      <x:c r="E130" s="65" t="n">
        <x:v>1600000</x:v>
      </x:c>
    </x:row>
    <x:row r="131">
      <x:c r="A131" s="62" t="n">
        <x:v>46167</x:v>
      </x:c>
      <x:c r="B131" s="59" t="str">
        <x:v>Transferencia interna</x:v>
      </x:c>
      <x:c r="C131" s="59" t="str">
        <x:v>P2</x:v>
      </x:c>
      <x:c r="D131" s="59" t="str">
        <x:v>ADMINISTRACIÓN</x:v>
      </x:c>
      <x:c r="E131" s="65" t="n">
        <x:v>2800000</x:v>
      </x:c>
    </x:row>
    <x:row r="132">
      <x:c r="A132" s="62" t="n">
        <x:v>46167</x:v>
      </x:c>
      <x:c r="B132" s="59" t="str">
        <x:v>Transferencia interna</x:v>
      </x:c>
      <x:c r="C132" s="59" t="str">
        <x:v>ADMINISTRACIÓN</x:v>
      </x:c>
      <x:c r="D132" s="59" t="str">
        <x:v>MVPC</x:v>
      </x:c>
      <x:c r="E132" s="65" t="n">
        <x:v>1000000</x:v>
      </x:c>
    </x:row>
    <x:row r="133">
      <x:c r="A133" s="62" t="n">
        <x:v>46167</x:v>
      </x:c>
      <x:c r="B133" s="59" t="str">
        <x:v>Depósito interno</x:v>
      </x:c>
      <x:c r="C133" s="59" t="str">
        <x:v>PC</x:v>
      </x:c>
      <x:c r="D133" s="59" t="str">
        <x:v>Banco no especificado en planilla</x:v>
      </x:c>
      <x:c r="E133" s="65" t="n">
        <x:v>8373930</x:v>
      </x:c>
    </x:row>
    <x:row r="134">
      <x:c r="A134" s="62" t="n">
        <x:v>46168</x:v>
      </x:c>
      <x:c r="B134" s="59" t="str">
        <x:v>Ingreso</x:v>
      </x:c>
      <x:c r="C134" s="59" t="str">
        <x:v>Externo</x:v>
      </x:c>
      <x:c r="D134" s="59" t="str">
        <x:v>PC</x:v>
      </x:c>
      <x:c r="E134" s="65" t="n">
        <x:v>2190000</x:v>
      </x:c>
    </x:row>
    <x:row r="135">
      <x:c r="A135" s="62" t="n">
        <x:v>46168</x:v>
      </x:c>
      <x:c r="B135" s="59" t="str">
        <x:v>Ingreso</x:v>
      </x:c>
      <x:c r="C135" s="59" t="str">
        <x:v>Externo</x:v>
      </x:c>
      <x:c r="D135" s="59" t="str">
        <x:v>P2</x:v>
      </x:c>
      <x:c r="E135" s="65" t="n">
        <x:v>752000</x:v>
      </x:c>
    </x:row>
    <x:row r="136">
      <x:c r="A136" s="62" t="n">
        <x:v>46168</x:v>
      </x:c>
      <x:c r="B136" s="59" t="str">
        <x:v>Egreso</x:v>
      </x:c>
      <x:c r="C136" s="59" t="str">
        <x:v>P2</x:v>
      </x:c>
      <x:c r="D136" s="59" t="str">
        <x:v>Externo</x:v>
      </x:c>
      <x:c r="E136" s="65" t="n">
        <x:v>25000</x:v>
      </x:c>
    </x:row>
    <x:row r="137">
      <x:c r="A137" s="62" t="n">
        <x:v>46168</x:v>
      </x:c>
      <x:c r="B137" s="59" t="str">
        <x:v>Egreso</x:v>
      </x:c>
      <x:c r="C137" s="59" t="str">
        <x:v>MVPC</x:v>
      </x:c>
      <x:c r="D137" s="59" t="str">
        <x:v>Externo</x:v>
      </x:c>
      <x:c r="E137" s="65" t="n">
        <x:v>530000</x:v>
      </x:c>
    </x:row>
    <x:row r="138">
      <x:c r="A138" s="62" t="n">
        <x:v>46169</x:v>
      </x:c>
      <x:c r="B138" s="59" t="str">
        <x:v>Ingreso</x:v>
      </x:c>
      <x:c r="C138" s="59" t="str">
        <x:v>Externo</x:v>
      </x:c>
      <x:c r="D138" s="59" t="str">
        <x:v>PC</x:v>
      </x:c>
      <x:c r="E138" s="65" t="n">
        <x:v>4730000</x:v>
      </x:c>
    </x:row>
    <x:row r="139">
      <x:c r="A139" s="62" t="n">
        <x:v>46169</x:v>
      </x:c>
      <x:c r="B139" s="59" t="str">
        <x:v>Egreso</x:v>
      </x:c>
      <x:c r="C139" s="59" t="str">
        <x:v>PC</x:v>
      </x:c>
      <x:c r="D139" s="59" t="str">
        <x:v>Externo</x:v>
      </x:c>
      <x:c r="E139" s="65" t="n">
        <x:v>50000</x:v>
      </x:c>
    </x:row>
    <x:row r="140">
      <x:c r="A140" s="62" t="n">
        <x:v>46169</x:v>
      </x:c>
      <x:c r="B140" s="59" t="str">
        <x:v>Ingreso</x:v>
      </x:c>
      <x:c r="C140" s="59" t="str">
        <x:v>Externo</x:v>
      </x:c>
      <x:c r="D140" s="59" t="str">
        <x:v>P2</x:v>
      </x:c>
      <x:c r="E140" s="65" t="n">
        <x:v>1855000</x:v>
      </x:c>
    </x:row>
    <x:row r="141">
      <x:c r="A141" s="62" t="n">
        <x:v>46169</x:v>
      </x:c>
      <x:c r="B141" s="59" t="str">
        <x:v>Egreso</x:v>
      </x:c>
      <x:c r="C141" s="59" t="str">
        <x:v>P2</x:v>
      </x:c>
      <x:c r="D141" s="59" t="str">
        <x:v>Externo</x:v>
      </x:c>
      <x:c r="E141" s="65" t="n">
        <x:v>75000</x:v>
      </x:c>
    </x:row>
    <x:row r="142">
      <x:c r="A142" s="62" t="n">
        <x:v>46169</x:v>
      </x:c>
      <x:c r="B142" s="59" t="str">
        <x:v>Ingreso</x:v>
      </x:c>
      <x:c r="C142" s="59" t="str">
        <x:v>Externo</x:v>
      </x:c>
      <x:c r="D142" s="59" t="str">
        <x:v>MVPC</x:v>
      </x:c>
      <x:c r="E142" s="65" t="n">
        <x:v>220000</x:v>
      </x:c>
    </x:row>
    <x:row r="143">
      <x:c r="A143" s="62" t="n">
        <x:v>46169</x:v>
      </x:c>
      <x:c r="B143" s="59" t="str">
        <x:v>Egreso</x:v>
      </x:c>
      <x:c r="C143" s="59" t="str">
        <x:v>MVPC</x:v>
      </x:c>
      <x:c r="D143" s="59" t="str">
        <x:v>Externo</x:v>
      </x:c>
      <x:c r="E143" s="65" t="n">
        <x:v>150000</x:v>
      </x:c>
    </x:row>
    <x:row r="144">
      <x:c r="A144" s="62" t="n">
        <x:v>46169</x:v>
      </x:c>
      <x:c r="B144" s="59" t="str">
        <x:v>Transferencia interna</x:v>
      </x:c>
      <x:c r="C144" s="59" t="str">
        <x:v>PC</x:v>
      </x:c>
      <x:c r="D144" s="59" t="str">
        <x:v>ADMINISTRACIÓN</x:v>
      </x:c>
      <x:c r="E144" s="65" t="n">
        <x:v>800000</x:v>
      </x:c>
    </x:row>
    <x:row r="145">
      <x:c r="A145" s="62" t="n">
        <x:v>46169</x:v>
      </x:c>
      <x:c r="B145" s="59" t="str">
        <x:v>Transferencia interna</x:v>
      </x:c>
      <x:c r="C145" s="59" t="str">
        <x:v>P2</x:v>
      </x:c>
      <x:c r="D145" s="59" t="str">
        <x:v>ADMINISTRACIÓN</x:v>
      </x:c>
      <x:c r="E145" s="65" t="n">
        <x:v>1700000</x:v>
      </x:c>
    </x:row>
    <x:row r="146">
      <x:c r="A146" s="62" t="n">
        <x:v>46169</x:v>
      </x:c>
      <x:c r="B146" s="59" t="str">
        <x:v>Transferencia interna</x:v>
      </x:c>
      <x:c r="C146" s="59" t="str">
        <x:v>ADMINISTRACIÓN</x:v>
      </x:c>
      <x:c r="D146" s="59" t="str">
        <x:v>MVPC</x:v>
      </x:c>
      <x:c r="E146" s="65" t="n">
        <x:v>800000</x:v>
      </x:c>
    </x:row>
    <x:row r="147">
      <x:c r="A147" s="62" t="n">
        <x:v>46170</x:v>
      </x:c>
      <x:c r="B147" s="59" t="str">
        <x:v>Ingreso</x:v>
      </x:c>
      <x:c r="C147" s="59" t="str">
        <x:v>Externo</x:v>
      </x:c>
      <x:c r="D147" s="59" t="str">
        <x:v>PC</x:v>
      </x:c>
      <x:c r="E147" s="65" t="n">
        <x:v>4463000</x:v>
      </x:c>
    </x:row>
    <x:row r="148">
      <x:c r="A148" s="62" t="n">
        <x:v>46170</x:v>
      </x:c>
      <x:c r="B148" s="59" t="str">
        <x:v>Egreso</x:v>
      </x:c>
      <x:c r="C148" s="59" t="str">
        <x:v>PC</x:v>
      </x:c>
      <x:c r="D148" s="59" t="str">
        <x:v>Externo</x:v>
      </x:c>
      <x:c r="E148" s="65" t="n">
        <x:v>310000</x:v>
      </x:c>
    </x:row>
    <x:row r="149">
      <x:c r="A149" s="62" t="n">
        <x:v>46170</x:v>
      </x:c>
      <x:c r="B149" s="59" t="str">
        <x:v>Ingreso</x:v>
      </x:c>
      <x:c r="C149" s="59" t="str">
        <x:v>Externo</x:v>
      </x:c>
      <x:c r="D149" s="59" t="str">
        <x:v>P2</x:v>
      </x:c>
      <x:c r="E149" s="65" t="n">
        <x:v>690000</x:v>
      </x:c>
    </x:row>
    <x:row r="150">
      <x:c r="A150" s="62" t="n">
        <x:v>46170</x:v>
      </x:c>
      <x:c r="B150" s="59" t="str">
        <x:v>Egreso</x:v>
      </x:c>
      <x:c r="C150" s="59" t="str">
        <x:v>P2</x:v>
      </x:c>
      <x:c r="D150" s="59" t="str">
        <x:v>Externo</x:v>
      </x:c>
      <x:c r="E150" s="65" t="n">
        <x:v>20000</x:v>
      </x:c>
    </x:row>
    <x:row r="151">
      <x:c r="A151" s="62" t="n">
        <x:v>46170</x:v>
      </x:c>
      <x:c r="B151" s="59" t="str">
        <x:v>Ingreso</x:v>
      </x:c>
      <x:c r="C151" s="59" t="str">
        <x:v>Externo</x:v>
      </x:c>
      <x:c r="D151" s="59" t="str">
        <x:v>MVPC</x:v>
      </x:c>
      <x:c r="E151" s="65" t="n">
        <x:v>300000</x:v>
      </x:c>
    </x:row>
    <x:row r="152">
      <x:c r="A152" s="62" t="n">
        <x:v>46170</x:v>
      </x:c>
      <x:c r="B152" s="59" t="str">
        <x:v>Egreso</x:v>
      </x:c>
      <x:c r="C152" s="59" t="str">
        <x:v>MVPC</x:v>
      </x:c>
      <x:c r="D152" s="59" t="str">
        <x:v>Externo</x:v>
      </x:c>
      <x:c r="E152" s="65" t="n">
        <x:v>565000</x:v>
      </x:c>
    </x:row>
    <x:row r="153">
      <x:c r="A153" s="62" t="n">
        <x:v>46171</x:v>
      </x:c>
      <x:c r="B153" s="59" t="str">
        <x:v>Ingreso</x:v>
      </x:c>
      <x:c r="C153" s="59" t="str">
        <x:v>Externo</x:v>
      </x:c>
      <x:c r="D153" s="59" t="str">
        <x:v>PC</x:v>
      </x:c>
      <x:c r="E153" s="65" t="n">
        <x:v>3753000</x:v>
      </x:c>
    </x:row>
    <x:row r="154">
      <x:c r="A154" s="62" t="n">
        <x:v>46171</x:v>
      </x:c>
      <x:c r="B154" s="59" t="str">
        <x:v>Egreso</x:v>
      </x:c>
      <x:c r="C154" s="59" t="str">
        <x:v>PC</x:v>
      </x:c>
      <x:c r="D154" s="59" t="str">
        <x:v>Externo</x:v>
      </x:c>
      <x:c r="E154" s="65" t="n">
        <x:v>50000</x:v>
      </x:c>
    </x:row>
    <x:row r="155">
      <x:c r="A155" s="62" t="n">
        <x:v>46171</x:v>
      </x:c>
      <x:c r="B155" s="59" t="str">
        <x:v>Ingreso</x:v>
      </x:c>
      <x:c r="C155" s="59" t="str">
        <x:v>Externo</x:v>
      </x:c>
      <x:c r="D155" s="59" t="str">
        <x:v>P2</x:v>
      </x:c>
      <x:c r="E155" s="65" t="n">
        <x:v>4572500</x:v>
      </x:c>
    </x:row>
    <x:row r="156">
      <x:c r="A156" s="62" t="n">
        <x:v>46171</x:v>
      </x:c>
      <x:c r="B156" s="59" t="str">
        <x:v>Egreso</x:v>
      </x:c>
      <x:c r="C156" s="59" t="str">
        <x:v>P2</x:v>
      </x:c>
      <x:c r="D156" s="59" t="str">
        <x:v>Externo</x:v>
      </x:c>
      <x:c r="E156" s="65" t="n">
        <x:v>70000</x:v>
      </x:c>
    </x:row>
    <x:row r="157">
      <x:c r="A157" s="62" t="n">
        <x:v>46171</x:v>
      </x:c>
      <x:c r="B157" s="59" t="str">
        <x:v>Ingreso</x:v>
      </x:c>
      <x:c r="C157" s="59" t="str">
        <x:v>Externo</x:v>
      </x:c>
      <x:c r="D157" s="59" t="str">
        <x:v>MVPC</x:v>
      </x:c>
      <x:c r="E157" s="65" t="n">
        <x:v>220000</x:v>
      </x:c>
    </x:row>
    <x:row r="158">
      <x:c r="A158" s="62" t="n">
        <x:v>46171</x:v>
      </x:c>
      <x:c r="B158" s="59" t="str">
        <x:v>Egreso</x:v>
      </x:c>
      <x:c r="C158" s="59" t="str">
        <x:v>MVPC</x:v>
      </x:c>
      <x:c r="D158" s="59" t="str">
        <x:v>Externo</x:v>
      </x:c>
      <x:c r="E158" s="65" t="n">
        <x:v>150000</x:v>
      </x:c>
    </x:row>
    <x:row r="159">
      <x:c r="A159" s="62" t="n">
        <x:v>46171</x:v>
      </x:c>
      <x:c r="B159" s="59" t="str">
        <x:v>Ingreso</x:v>
      </x:c>
      <x:c r="C159" s="59" t="str">
        <x:v>Externo</x:v>
      </x:c>
      <x:c r="D159" s="59" t="str">
        <x:v>MVP2</x:v>
      </x:c>
      <x:c r="E159" s="65" t="n">
        <x:v>2280000</x:v>
      </x:c>
    </x:row>
    <x:row r="160">
      <x:c r="A160" s="62" t="n">
        <x:v>46171</x:v>
      </x:c>
      <x:c r="B160" s="59" t="str">
        <x:v>Egreso</x:v>
      </x:c>
      <x:c r="C160" s="59" t="str">
        <x:v>MVP2</x:v>
      </x:c>
      <x:c r="D160" s="59" t="str">
        <x:v>Externo</x:v>
      </x:c>
      <x:c r="E160" s="65" t="n">
        <x:v>2110000</x:v>
      </x:c>
    </x:row>
    <x:row r="161">
      <x:c r="A161" s="62" t="n">
        <x:v>46171</x:v>
      </x:c>
      <x:c r="B161" s="59" t="str">
        <x:v>Transferencia interna</x:v>
      </x:c>
      <x:c r="C161" s="59" t="str">
        <x:v>PC</x:v>
      </x:c>
      <x:c r="D161" s="59" t="str">
        <x:v>ADMINISTRACIÓN</x:v>
      </x:c>
      <x:c r="E161" s="65" t="n">
        <x:v>1800000</x:v>
      </x:c>
    </x:row>
    <x:row r="162">
      <x:c r="A162" s="62" t="n">
        <x:v>46172</x:v>
      </x:c>
      <x:c r="B162" s="59" t="str">
        <x:v>Ingreso</x:v>
      </x:c>
      <x:c r="C162" s="59" t="str">
        <x:v>Externo</x:v>
      </x:c>
      <x:c r="D162" s="59" t="str">
        <x:v>PC</x:v>
      </x:c>
      <x:c r="E162" s="65" t="n">
        <x:v>2065000</x:v>
      </x:c>
    </x:row>
    <x:row r="163">
      <x:c r="A163" s="62" t="n">
        <x:v>46172</x:v>
      </x:c>
      <x:c r="B163" s="59" t="str">
        <x:v>Egreso</x:v>
      </x:c>
      <x:c r="C163" s="59" t="str">
        <x:v>PC</x:v>
      </x:c>
      <x:c r="D163" s="59" t="str">
        <x:v>Externo</x:v>
      </x:c>
      <x:c r="E163" s="65" t="n">
        <x:v>50000</x:v>
      </x:c>
    </x:row>
    <x:row r="164">
      <x:c r="A164" s="62" t="n">
        <x:v>46172</x:v>
      </x:c>
      <x:c r="B164" s="59" t="str">
        <x:v>Ingreso</x:v>
      </x:c>
      <x:c r="C164" s="59" t="str">
        <x:v>Externo</x:v>
      </x:c>
      <x:c r="D164" s="59" t="str">
        <x:v>P2</x:v>
      </x:c>
      <x:c r="E164" s="65" t="n">
        <x:v>3160000</x:v>
      </x:c>
    </x:row>
    <x:row r="165">
      <x:c r="A165" s="62" t="n">
        <x:v>46172</x:v>
      </x:c>
      <x:c r="B165" s="59" t="str">
        <x:v>Egreso</x:v>
      </x:c>
      <x:c r="C165" s="59" t="str">
        <x:v>P2</x:v>
      </x:c>
      <x:c r="D165" s="59" t="str">
        <x:v>Externo</x:v>
      </x:c>
      <x:c r="E165" s="65" t="n">
        <x:v>45000</x:v>
      </x:c>
    </x:row>
    <x:row r="166">
      <x:c r="A166" s="62" t="n">
        <x:v>46172</x:v>
      </x:c>
      <x:c r="B166" s="59" t="str">
        <x:v>Ingreso</x:v>
      </x:c>
      <x:c r="C166" s="59" t="str">
        <x:v>Externo</x:v>
      </x:c>
      <x:c r="D166" s="59" t="str">
        <x:v>MVPC</x:v>
      </x:c>
      <x:c r="E166" s="65" t="n">
        <x:v>520000</x:v>
      </x:c>
    </x:row>
    <x:row r="167">
      <x:c r="A167" s="62" t="n">
        <x:v>46172</x:v>
      </x:c>
      <x:c r="B167" s="59" t="str">
        <x:v>Egreso</x:v>
      </x:c>
      <x:c r="C167" s="59" t="str">
        <x:v>MVPC</x:v>
      </x:c>
      <x:c r="D167" s="59" t="str">
        <x:v>Externo</x:v>
      </x:c>
      <x:c r="E167" s="65" t="n">
        <x:v>540000</x:v>
      </x:c>
    </x:row>
    <x:row r="168">
      <x:c r="A168" s="62" t="n">
        <x:v>46172</x:v>
      </x:c>
      <x:c r="B168" s="59" t="str">
        <x:v>Transferencia interna</x:v>
      </x:c>
      <x:c r="C168" s="59" t="str">
        <x:v>PC</x:v>
      </x:c>
      <x:c r="D168" s="59" t="str">
        <x:v>ADMINISTRACIÓN</x:v>
      </x:c>
      <x:c r="E168" s="65" t="n">
        <x:v>1000000</x:v>
      </x:c>
    </x:row>
    <x:row r="169">
      <x:c r="A169" s="62"/>
      <x:c r="B169" s="59"/>
      <x:c r="C169" s="59"/>
      <x:c r="D169" s="59"/>
      <x:c r="E169" s="65"/>
    </x:row>
    <x:row r="170">
      <x:c r="A170" s="62"/>
      <x:c r="B170" s="59"/>
      <x:c r="C170" s="59"/>
      <x:c r="D170" s="59"/>
      <x:c r="E170" s="65"/>
    </x:row>
    <x:row r="171">
      <x:c r="A171" s="62"/>
      <x:c r="B171" s="59"/>
      <x:c r="C171" s="59"/>
      <x:c r="D171" s="59"/>
      <x:c r="E171" s="65"/>
    </x:row>
    <x:row r="172">
      <x:c r="A172" s="62"/>
      <x:c r="B172" s="59"/>
      <x:c r="C172" s="59"/>
      <x:c r="D172" s="59"/>
      <x:c r="E172" s="65"/>
    </x:row>
    <x:row r="173">
      <x:c r="A173" s="62"/>
      <x:c r="B173" s="59"/>
      <x:c r="C173" s="59"/>
      <x:c r="D173" s="59"/>
      <x:c r="E173" s="65"/>
    </x:row>
    <x:row r="174">
      <x:c r="A174" s="62"/>
      <x:c r="B174" s="59"/>
      <x:c r="C174" s="59"/>
      <x:c r="D174" s="59"/>
      <x:c r="E174" s="65"/>
    </x:row>
    <x:row r="175">
      <x:c r="A175" s="62"/>
      <x:c r="B175" s="59"/>
      <x:c r="C175" s="59"/>
      <x:c r="D175" s="59"/>
      <x:c r="E175" s="65"/>
    </x:row>
    <x:row r="176">
      <x:c r="A176" s="62"/>
      <x:c r="B176" s="59"/>
      <x:c r="C176" s="59"/>
      <x:c r="D176" s="59"/>
      <x:c r="E176" s="65"/>
    </x:row>
    <x:row r="177">
      <x:c r="A177" s="62"/>
      <x:c r="B177" s="59"/>
      <x:c r="C177" s="59"/>
      <x:c r="D177" s="59"/>
      <x:c r="E177" s="65"/>
    </x:row>
    <x:row r="178">
      <x:c r="A178" s="62"/>
      <x:c r="B178" s="59"/>
      <x:c r="C178" s="59"/>
      <x:c r="D178" s="59"/>
      <x:c r="E178" s="65"/>
    </x:row>
    <x:row r="179">
      <x:c r="A179" s="62"/>
      <x:c r="B179" s="59"/>
      <x:c r="C179" s="59"/>
      <x:c r="D179" s="59"/>
      <x:c r="E179" s="65"/>
    </x:row>
    <x:row r="180">
      <x:c r="A180" s="62"/>
      <x:c r="B180" s="59"/>
      <x:c r="C180" s="59"/>
      <x:c r="D180" s="59"/>
      <x:c r="E180" s="65"/>
    </x:row>
    <x:row r="181">
      <x:c r="A181" s="62"/>
      <x:c r="B181" s="59"/>
      <x:c r="C181" s="59"/>
      <x:c r="D181" s="59"/>
      <x:c r="E181" s="65"/>
    </x:row>
    <x:row r="182">
      <x:c r="A182" s="62"/>
      <x:c r="B182" s="59"/>
      <x:c r="C182" s="59"/>
      <x:c r="D182" s="59"/>
      <x:c r="E182" s="65"/>
    </x:row>
    <x:row r="183">
      <x:c r="A183" s="62"/>
      <x:c r="B183" s="59"/>
      <x:c r="C183" s="59"/>
      <x:c r="D183" s="59"/>
      <x:c r="E183" s="65"/>
    </x:row>
    <x:row r="184">
      <x:c r="A184" s="62"/>
      <x:c r="B184" s="59"/>
      <x:c r="C184" s="59"/>
      <x:c r="D184" s="59"/>
      <x:c r="E184" s="65"/>
    </x:row>
    <x:row r="185">
      <x:c r="A185" s="62"/>
      <x:c r="B185" s="59"/>
      <x:c r="C185" s="59"/>
      <x:c r="D185" s="59"/>
      <x:c r="E185" s="65"/>
    </x:row>
    <x:row r="186">
      <x:c r="A186" s="62"/>
      <x:c r="B186" s="59"/>
      <x:c r="C186" s="59"/>
      <x:c r="D186" s="59"/>
      <x:c r="E186" s="65"/>
    </x:row>
    <x:row r="187">
      <x:c r="A187" s="62"/>
      <x:c r="B187" s="59"/>
      <x:c r="C187" s="59"/>
      <x:c r="D187" s="59"/>
      <x:c r="E187" s="65"/>
    </x:row>
    <x:row r="188">
      <x:c r="A188" s="62"/>
      <x:c r="B188" s="59"/>
      <x:c r="C188" s="59"/>
      <x:c r="D188" s="59"/>
      <x:c r="E188" s="65"/>
    </x:row>
    <x:row r="189">
      <x:c r="A189" s="62"/>
      <x:c r="B189" s="59"/>
      <x:c r="C189" s="59"/>
      <x:c r="D189" s="59"/>
      <x:c r="E189" s="65"/>
    </x:row>
    <x:row r="190">
      <x:c r="A190" s="62"/>
      <x:c r="B190" s="59"/>
      <x:c r="C190" s="59"/>
      <x:c r="D190" s="59"/>
      <x:c r="E190" s="65"/>
    </x:row>
    <x:row r="191">
      <x:c r="A191" s="62"/>
      <x:c r="B191" s="59"/>
      <x:c r="C191" s="59"/>
      <x:c r="D191" s="59"/>
      <x:c r="E191" s="65"/>
    </x:row>
    <x:row r="192">
      <x:c r="A192" s="62"/>
      <x:c r="B192" s="59"/>
      <x:c r="C192" s="59"/>
      <x:c r="D192" s="59"/>
      <x:c r="E192" s="65"/>
    </x:row>
    <x:row r="193">
      <x:c r="A193" s="62"/>
      <x:c r="B193" s="59"/>
      <x:c r="C193" s="59"/>
      <x:c r="D193" s="59"/>
      <x:c r="E193" s="65"/>
    </x:row>
    <x:row r="194">
      <x:c r="A194" s="62"/>
      <x:c r="B194" s="59"/>
      <x:c r="C194" s="59"/>
      <x:c r="D194" s="59"/>
      <x:c r="E194" s="65"/>
    </x:row>
    <x:row r="195">
      <x:c r="A195" s="62"/>
      <x:c r="B195" s="59"/>
      <x:c r="C195" s="59"/>
      <x:c r="D195" s="59"/>
      <x:c r="E195" s="65"/>
    </x:row>
    <x:row r="196">
      <x:c r="A196" s="62"/>
      <x:c r="B196" s="59"/>
      <x:c r="C196" s="59"/>
      <x:c r="D196" s="59"/>
      <x:c r="E196" s="65"/>
    </x:row>
    <x:row r="197">
      <x:c r="A197" s="62"/>
      <x:c r="B197" s="59"/>
      <x:c r="C197" s="59"/>
      <x:c r="D197" s="59"/>
      <x:c r="E197" s="65"/>
    </x:row>
    <x:row r="198">
      <x:c r="A198" s="62"/>
      <x:c r="B198" s="59"/>
      <x:c r="C198" s="59"/>
      <x:c r="D198" s="59"/>
      <x:c r="E198" s="65"/>
    </x:row>
    <x:row r="199">
      <x:c r="A199" s="62"/>
      <x:c r="B199" s="59"/>
      <x:c r="C199" s="59"/>
      <x:c r="D199" s="59"/>
      <x:c r="E199" s="65"/>
    </x:row>
    <x:row r="200">
      <x:c r="A200" s="62"/>
      <x:c r="B200" s="59"/>
      <x:c r="C200" s="59"/>
      <x:c r="D200" s="59"/>
      <x:c r="E200" s="65"/>
    </x:row>
    <x:row r="201">
      <x:c r="A201" s="62"/>
      <x:c r="B201" s="59"/>
      <x:c r="C201" s="59"/>
      <x:c r="D201" s="59"/>
      <x:c r="E201" s="65"/>
    </x:row>
    <x:row r="202">
      <x:c r="A202" s="62"/>
      <x:c r="B202" s="59"/>
      <x:c r="C202" s="59"/>
      <x:c r="D202" s="59"/>
      <x:c r="E202" s="65"/>
    </x:row>
    <x:row r="203">
      <x:c r="A203" s="62"/>
      <x:c r="B203" s="59"/>
      <x:c r="C203" s="59"/>
      <x:c r="D203" s="59"/>
      <x:c r="E203" s="65"/>
    </x:row>
    <x:row r="204">
      <x:c r="A204" s="62"/>
      <x:c r="B204" s="59"/>
      <x:c r="C204" s="59"/>
      <x:c r="D204" s="59"/>
      <x:c r="E204" s="65"/>
    </x:row>
    <x:row r="205">
      <x:c r="A205" s="62"/>
      <x:c r="B205" s="59"/>
      <x:c r="C205" s="59"/>
      <x:c r="D205" s="59"/>
      <x:c r="E205" s="65"/>
    </x:row>
    <x:row r="206">
      <x:c r="A206" s="62"/>
      <x:c r="B206" s="59"/>
      <x:c r="C206" s="59"/>
      <x:c r="D206" s="59"/>
      <x:c r="E206" s="65"/>
    </x:row>
    <x:row r="207">
      <x:c r="A207" s="62"/>
      <x:c r="B207" s="59"/>
      <x:c r="C207" s="59"/>
      <x:c r="D207" s="59"/>
      <x:c r="E207" s="65"/>
    </x:row>
    <x:row r="208">
      <x:c r="A208" s="62"/>
      <x:c r="B208" s="59"/>
      <x:c r="C208" s="59"/>
      <x:c r="D208" s="59"/>
      <x:c r="E208" s="65"/>
    </x:row>
    <x:row r="209">
      <x:c r="A209" s="62"/>
      <x:c r="B209" s="59"/>
      <x:c r="C209" s="59"/>
      <x:c r="D209" s="59"/>
      <x:c r="E209" s="65"/>
    </x:row>
    <x:row r="210">
      <x:c r="A210" s="62"/>
      <x:c r="B210" s="59"/>
      <x:c r="C210" s="59"/>
      <x:c r="D210" s="59"/>
      <x:c r="E210" s="65"/>
    </x:row>
    <x:row r="211">
      <x:c r="A211" s="62"/>
      <x:c r="B211" s="59"/>
      <x:c r="C211" s="59"/>
      <x:c r="D211" s="59"/>
      <x:c r="E211" s="65"/>
    </x:row>
    <x:row r="212">
      <x:c r="A212" s="62"/>
      <x:c r="B212" s="59"/>
      <x:c r="C212" s="59"/>
      <x:c r="D212" s="59"/>
      <x:c r="E212" s="65"/>
    </x:row>
    <x:row r="213">
      <x:c r="A213" s="62"/>
      <x:c r="B213" s="59"/>
      <x:c r="C213" s="59"/>
      <x:c r="D213" s="59"/>
      <x:c r="E213" s="65"/>
    </x:row>
    <x:row r="214">
      <x:c r="A214" s="62"/>
      <x:c r="B214" s="59"/>
      <x:c r="C214" s="59"/>
      <x:c r="D214" s="59"/>
      <x:c r="E214" s="65"/>
    </x:row>
    <x:row r="215">
      <x:c r="A215" s="62"/>
      <x:c r="B215" s="59"/>
      <x:c r="C215" s="59"/>
      <x:c r="D215" s="59"/>
      <x:c r="E215" s="65"/>
    </x:row>
    <x:row r="216">
      <x:c r="A216" s="62"/>
      <x:c r="B216" s="59"/>
      <x:c r="C216" s="59"/>
      <x:c r="D216" s="59"/>
      <x:c r="E216" s="65"/>
    </x:row>
    <x:row r="217">
      <x:c r="A217" s="62"/>
      <x:c r="B217" s="59"/>
      <x:c r="C217" s="59"/>
      <x:c r="D217" s="59"/>
      <x:c r="E217" s="65"/>
    </x:row>
    <x:row r="218">
      <x:c r="A218" s="62"/>
      <x:c r="B218" s="59"/>
      <x:c r="C218" s="59"/>
      <x:c r="D218" s="59"/>
      <x:c r="E218" s="65"/>
    </x:row>
    <x:row r="219">
      <x:c r="A219" s="62"/>
      <x:c r="B219" s="59"/>
      <x:c r="C219" s="59"/>
      <x:c r="D219" s="59"/>
      <x:c r="E219" s="65"/>
    </x:row>
    <x:row r="220">
      <x:c r="A220" s="62"/>
      <x:c r="B220" s="59"/>
      <x:c r="C220" s="59"/>
      <x:c r="D220" s="59"/>
      <x:c r="E220" s="65"/>
    </x:row>
    <x:row r="221">
      <x:c r="A221" s="62"/>
      <x:c r="B221" s="59"/>
      <x:c r="C221" s="59"/>
      <x:c r="D221" s="59"/>
      <x:c r="E221" s="65"/>
    </x:row>
    <x:row r="222">
      <x:c r="A222" s="62"/>
      <x:c r="B222" s="59"/>
      <x:c r="C222" s="59"/>
      <x:c r="D222" s="59"/>
      <x:c r="E222" s="65"/>
    </x:row>
    <x:row r="223">
      <x:c r="A223" s="62"/>
      <x:c r="B223" s="59"/>
      <x:c r="C223" s="59"/>
      <x:c r="D223" s="59"/>
      <x:c r="E223" s="65"/>
    </x:row>
    <x:row r="224">
      <x:c r="A224" s="62"/>
      <x:c r="B224" s="59"/>
      <x:c r="C224" s="59"/>
      <x:c r="D224" s="59"/>
      <x:c r="E224" s="65"/>
    </x:row>
    <x:row r="225">
      <x:c r="A225" s="62"/>
      <x:c r="B225" s="59"/>
      <x:c r="C225" s="59"/>
      <x:c r="D225" s="59"/>
      <x:c r="E225" s="65"/>
    </x:row>
    <x:row r="226">
      <x:c r="A226" s="62"/>
      <x:c r="B226" s="59"/>
      <x:c r="C226" s="59"/>
      <x:c r="D226" s="59"/>
      <x:c r="E226" s="65"/>
    </x:row>
    <x:row r="227">
      <x:c r="A227" s="62"/>
      <x:c r="B227" s="59"/>
      <x:c r="C227" s="59"/>
      <x:c r="D227" s="59"/>
      <x:c r="E227" s="65"/>
    </x:row>
    <x:row r="228">
      <x:c r="A228" s="62"/>
      <x:c r="B228" s="59"/>
      <x:c r="C228" s="59"/>
      <x:c r="D228" s="59"/>
      <x:c r="E228" s="65"/>
    </x:row>
    <x:row r="229">
      <x:c r="A229" s="62"/>
      <x:c r="B229" s="59"/>
      <x:c r="C229" s="59"/>
      <x:c r="D229" s="59"/>
      <x:c r="E229" s="65"/>
    </x:row>
    <x:row r="230">
      <x:c r="A230" s="62"/>
      <x:c r="B230" s="59"/>
      <x:c r="C230" s="59"/>
      <x:c r="D230" s="59"/>
      <x:c r="E230" s="65"/>
    </x:row>
    <x:row r="231">
      <x:c r="A231" s="62"/>
      <x:c r="B231" s="59"/>
      <x:c r="C231" s="59"/>
      <x:c r="D231" s="59"/>
      <x:c r="E231" s="65"/>
    </x:row>
    <x:row r="232">
      <x:c r="A232" s="62"/>
      <x:c r="B232" s="59"/>
      <x:c r="C232" s="59"/>
      <x:c r="D232" s="59"/>
      <x:c r="E232" s="65"/>
    </x:row>
    <x:row r="233">
      <x:c r="A233" s="62"/>
      <x:c r="B233" s="59"/>
      <x:c r="C233" s="59"/>
      <x:c r="D233" s="59"/>
      <x:c r="E233" s="65"/>
    </x:row>
    <x:row r="234">
      <x:c r="A234" s="62"/>
      <x:c r="B234" s="59"/>
      <x:c r="C234" s="59"/>
      <x:c r="D234" s="59"/>
      <x:c r="E234" s="65"/>
    </x:row>
    <x:row r="235">
      <x:c r="A235" s="62"/>
      <x:c r="B235" s="59"/>
      <x:c r="C235" s="59"/>
      <x:c r="D235" s="59"/>
      <x:c r="E235" s="65"/>
    </x:row>
    <x:row r="236">
      <x:c r="A236" s="62"/>
      <x:c r="B236" s="59"/>
      <x:c r="C236" s="59"/>
      <x:c r="D236" s="59"/>
      <x:c r="E236" s="65"/>
    </x:row>
    <x:row r="237">
      <x:c r="A237" s="62"/>
      <x:c r="B237" s="59"/>
      <x:c r="C237" s="59"/>
      <x:c r="D237" s="59"/>
      <x:c r="E237" s="65"/>
    </x:row>
    <x:row r="238">
      <x:c r="A238" s="62"/>
      <x:c r="B238" s="59"/>
      <x:c r="C238" s="59"/>
      <x:c r="D238" s="59"/>
      <x:c r="E238" s="65"/>
    </x:row>
    <x:row r="239">
      <x:c r="A239" s="62"/>
      <x:c r="B239" s="59"/>
      <x:c r="C239" s="59"/>
      <x:c r="D239" s="59"/>
      <x:c r="E239" s="65"/>
    </x:row>
    <x:row r="240">
      <x:c r="A240" s="62"/>
      <x:c r="B240" s="59"/>
      <x:c r="C240" s="59"/>
      <x:c r="D240" s="59"/>
      <x:c r="E240" s="65"/>
    </x:row>
    <x:row r="241">
      <x:c r="A241" s="62"/>
      <x:c r="B241" s="59"/>
      <x:c r="C241" s="59"/>
      <x:c r="D241" s="59"/>
      <x:c r="E241" s="65"/>
    </x:row>
    <x:row r="242">
      <x:c r="A242" s="62"/>
      <x:c r="B242" s="59"/>
      <x:c r="C242" s="59"/>
      <x:c r="D242" s="59"/>
      <x:c r="E242" s="65"/>
    </x:row>
    <x:row r="243">
      <x:c r="A243" s="62"/>
      <x:c r="B243" s="59"/>
      <x:c r="C243" s="59"/>
      <x:c r="D243" s="59"/>
      <x:c r="E243" s="65"/>
    </x:row>
    <x:row r="244">
      <x:c r="A244" s="62"/>
      <x:c r="B244" s="59"/>
      <x:c r="C244" s="59"/>
      <x:c r="D244" s="59"/>
      <x:c r="E244" s="65"/>
    </x:row>
    <x:row r="245">
      <x:c r="A245" s="62"/>
      <x:c r="B245" s="59"/>
      <x:c r="C245" s="59"/>
      <x:c r="D245" s="59"/>
      <x:c r="E245" s="65"/>
    </x:row>
    <x:row r="246">
      <x:c r="A246" s="62"/>
      <x:c r="B246" s="59"/>
      <x:c r="C246" s="59"/>
      <x:c r="D246" s="59"/>
      <x:c r="E246" s="65"/>
    </x:row>
    <x:row r="247">
      <x:c r="A247" s="62"/>
      <x:c r="B247" s="59"/>
      <x:c r="C247" s="59"/>
      <x:c r="D247" s="59"/>
      <x:c r="E247" s="65"/>
    </x:row>
    <x:row r="248">
      <x:c r="A248" s="62"/>
      <x:c r="B248" s="59"/>
      <x:c r="C248" s="59"/>
      <x:c r="D248" s="59"/>
      <x:c r="E248" s="65"/>
    </x:row>
    <x:row r="249">
      <x:c r="A249" s="62"/>
      <x:c r="B249" s="59"/>
      <x:c r="C249" s="59"/>
      <x:c r="D249" s="59"/>
      <x:c r="E249" s="65"/>
    </x:row>
    <x:row r="250">
      <x:c r="A250" s="62"/>
      <x:c r="B250" s="59"/>
      <x:c r="C250" s="59"/>
      <x:c r="D250" s="59"/>
      <x:c r="E250" s="65"/>
    </x:row>
    <x:row r="251">
      <x:c r="A251" s="62"/>
      <x:c r="B251" s="59"/>
      <x:c r="C251" s="59"/>
      <x:c r="D251" s="59"/>
      <x:c r="E251" s="65"/>
    </x:row>
    <x:row r="252">
      <x:c r="A252" s="62"/>
      <x:c r="B252" s="59"/>
      <x:c r="C252" s="59"/>
      <x:c r="D252" s="59"/>
      <x:c r="E252" s="65"/>
    </x:row>
    <x:row r="253">
      <x:c r="A253" s="62"/>
      <x:c r="B253" s="59"/>
      <x:c r="C253" s="59"/>
      <x:c r="D253" s="59"/>
      <x:c r="E253" s="65"/>
    </x:row>
    <x:row r="254">
      <x:c r="A254" s="63"/>
      <x:c r="B254" s="60"/>
      <x:c r="C254" s="60"/>
      <x:c r="D254" s="60"/>
      <x:c r="E254" s="66"/>
    </x:row>
  </x:sheetData>
  <x:mergeCells>
    <x:mergeCell ref="A1:E1"/>
    <x:mergeCell ref="A2:E2"/>
  </x:mergeCells>
  <x:dataValidations count="1">
    <x:dataValidation type="list" sqref="B5:B254">
      <x:formula1>"Ingreso,Egreso,Transferencia interna,Depósito interno,Cobro externo"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18" hidden="0" customWidth="1"/>
    <x:col min="5" max="5" width="42" hidden="0" customWidth="1"/>
  </x:cols>
  <x:sheetData>
    <x:row r="1" ht="34" customHeight="1">
      <x:c r="A1" s="48" t="str">
        <x:v>Ingresos y egresos adicionales</x:v>
      </x:c>
    </x:row>
    <x:row r="2" ht="36" customHeight="1">
      <x:c r="A2" s="51" t="str">
        <x:v>Ejemplos: alquileres, IPS, Systemsoft, SET, Porta, tarjetas, Bancard y otros conceptos.</x:v>
      </x:c>
    </x:row>
    <x:row r="4" ht="32" customHeight="1">
      <x:c r="A4" s="56" t="str">
        <x:v>Fecha</x:v>
      </x:c>
      <x:c r="B4" s="56" t="str">
        <x:v>Tipo</x:v>
      </x:c>
      <x:c r="C4" s="56" t="str">
        <x:v>Concepto</x:v>
      </x:c>
      <x:c r="D4" s="56" t="str">
        <x:v>Monto</x:v>
      </x:c>
      <x:c r="E4" s="56" t="str">
        <x:v>Observación</x:v>
      </x:c>
    </x:row>
    <x:row r="5">
      <x:c r="A5" s="61" t="n">
        <x:v>46143</x:v>
      </x:c>
      <x:c r="B5" s="58" t="str">
        <x:v>Ingreso</x:v>
      </x:c>
      <x:c r="C5" s="58" t="str">
        <x:v>Asociación de Magistrados</x:v>
      </x:c>
      <x:c r="D5" s="64" t="n">
        <x:v>87400</x:v>
      </x:c>
      <x:c r="E5" s="107" t="str">
        <x:v>Asociación de Magistrados Judiciales del Paraguay (planilla de abril 2026)</x:v>
      </x:c>
    </x:row>
    <x:row r="6">
      <x:c r="A6" s="62" t="n">
        <x:v>46143</x:v>
      </x:c>
      <x:c r="B6" s="59" t="str">
        <x:v>Ingreso</x:v>
      </x:c>
      <x:c r="C6" s="59" t="str">
        <x:v>Doctores</x:v>
      </x:c>
      <x:c r="D6" s="65" t="n">
        <x:v>4975000</x:v>
      </x:c>
      <x:c r="E6" s="108" t="str">
        <x:v>Dr. Ricardo Perán (seguros médicos)</x:v>
      </x:c>
    </x:row>
    <x:row r="7">
      <x:c r="A7" s="62" t="n">
        <x:v>46143</x:v>
      </x:c>
      <x:c r="B7" s="59" t="str">
        <x:v>Ingreso</x:v>
      </x:c>
      <x:c r="C7" s="59" t="str">
        <x:v>Doctores</x:v>
      </x:c>
      <x:c r="D7" s="65" t="n">
        <x:v>225000</x:v>
      </x:c>
      <x:c r="E7" s="108" t="str">
        <x:v>Dra. Sol González (seguros médicos)</x:v>
      </x:c>
    </x:row>
    <x:row r="8">
      <x:c r="A8" s="62" t="n">
        <x:v>46143</x:v>
      </x:c>
      <x:c r="B8" s="59" t="str">
        <x:v>Ingreso</x:v>
      </x:c>
      <x:c r="C8" s="59" t="str">
        <x:v>Asociación de Educadores</x:v>
      </x:c>
      <x:c r="D8" s="65" t="n">
        <x:v>4532500</x:v>
      </x:c>
      <x:c r="E8" s="108" t="str">
        <x:v>Aso. de Educadores del Ñeembucú</x:v>
      </x:c>
    </x:row>
    <x:row r="9">
      <x:c r="A9" s="62" t="n">
        <x:v>46143</x:v>
      </x:c>
      <x:c r="B9" s="59" t="str">
        <x:v>Ingreso</x:v>
      </x:c>
      <x:c r="C9" s="59" t="str">
        <x:v>Alquiler del consultorio</x:v>
      </x:c>
      <x:c r="D9" s="65" t="n">
        <x:v>1550000</x:v>
      </x:c>
      <x:c r="E9" s="108" t="str">
        <x:v>Dra. Gabi</x:v>
      </x:c>
    </x:row>
    <x:row r="10">
      <x:c r="A10" s="62" t="n">
        <x:v>46143</x:v>
      </x:c>
      <x:c r="B10" s="59" t="str">
        <x:v>Egreso</x:v>
      </x:c>
      <x:c r="C10" s="59" t="str">
        <x:v>Alquiler - PC</x:v>
      </x:c>
      <x:c r="D10" s="65" t="n">
        <x:v>3061000</x:v>
      </x:c>
      <x:c r="E10" s="108" t="str">
        <x:v>Alquiler PC</x:v>
      </x:c>
    </x:row>
    <x:row r="11">
      <x:c r="A11" s="62" t="n">
        <x:v>46143</x:v>
      </x:c>
      <x:c r="B11" s="59" t="str">
        <x:v>Egreso</x:v>
      </x:c>
      <x:c r="C11" s="59" t="str">
        <x:v>Alquiler - P2</x:v>
      </x:c>
      <x:c r="D11" s="65" t="n">
        <x:v>2350000</x:v>
      </x:c>
      <x:c r="E11" s="108" t="str">
        <x:v>Alquiler P2</x:v>
      </x:c>
    </x:row>
    <x:row r="12">
      <x:c r="A12" s="62" t="n">
        <x:v>46143</x:v>
      </x:c>
      <x:c r="B12" s="59" t="str">
        <x:v>Egreso</x:v>
      </x:c>
      <x:c r="C12" s="59" t="str">
        <x:v>Gastos de la cuenta - PC</x:v>
      </x:c>
      <x:c r="D12" s="65" t="n">
        <x:v>16793200</x:v>
      </x:c>
      <x:c r="E12" s="108" t="str">
        <x:v>Optilab</x:v>
      </x:c>
    </x:row>
    <x:row r="13">
      <x:c r="A13" s="62" t="n">
        <x:v>46143</x:v>
      </x:c>
      <x:c r="B13" s="59" t="str">
        <x:v>Egreso</x:v>
      </x:c>
      <x:c r="C13" s="59" t="str">
        <x:v>Gastos de la cuenta - PC</x:v>
      </x:c>
      <x:c r="D13" s="65" t="n">
        <x:v>5690000</x:v>
      </x:c>
      <x:c r="E13" s="108" t="str">
        <x:v>Servioptica 4.330.000 13/05, 1.360.000</x:v>
      </x:c>
    </x:row>
    <x:row r="14">
      <x:c r="A14" s="62" t="n">
        <x:v>46143</x:v>
      </x:c>
      <x:c r="B14" s="59" t="str">
        <x:v>Egreso</x:v>
      </x:c>
      <x:c r="C14" s="59" t="str">
        <x:v>Gastos de la cuenta - PC</x:v>
      </x:c>
      <x:c r="D14" s="65" t="n">
        <x:v>3519135</x:v>
      </x:c>
      <x:c r="E14" s="108" t="str">
        <x:v>Comfar 2.019.135 marzo, 1.500.000 abril 1/2 </x:v>
      </x:c>
    </x:row>
    <x:row r="15">
      <x:c r="A15" s="62" t="n">
        <x:v>46143</x:v>
      </x:c>
      <x:c r="B15" s="59" t="str">
        <x:v>Egreso</x:v>
      </x:c>
      <x:c r="C15" s="59" t="str">
        <x:v>Gastos de la cuenta - PC</x:v>
      </x:c>
      <x:c r="D15" s="65" t="n">
        <x:v>2200000</x:v>
      </x:c>
      <x:c r="E15" s="108" t="str">
        <x:v>Gustavo Rivas, publicidad programa "Ni locas Ni Santas" (Luli)</x:v>
      </x:c>
    </x:row>
    <x:row r="16">
      <x:c r="A16" s="62" t="n">
        <x:v>46143</x:v>
      </x:c>
      <x:c r="B16" s="59" t="str">
        <x:v>Egreso</x:v>
      </x:c>
      <x:c r="C16" s="59" t="str">
        <x:v>Gastos de la cuenta - PC</x:v>
      </x:c>
      <x:c r="D16" s="65" t="n">
        <x:v>1812500</x:v>
      </x:c>
      <x:c r="E16" s="108" t="str">
        <x:v>Optilab, armazones cuota 4 de 4</x:v>
      </x:c>
    </x:row>
    <x:row r="17">
      <x:c r="A17" s="62" t="n">
        <x:v>46143</x:v>
      </x:c>
      <x:c r="B17" s="59" t="str">
        <x:v>Egreso</x:v>
      </x:c>
      <x:c r="C17" s="59" t="str">
        <x:v>Gastos de la cuenta - PC</x:v>
      </x:c>
      <x:c r="D17" s="65" t="n">
        <x:v>1649600</x:v>
      </x:c>
      <x:c r="E17" s="108" t="str">
        <x:v>MULTILENS COMERCIO OPTICO EAS UNDEFINED, Gama Visión cristal</x:v>
      </x:c>
    </x:row>
    <x:row r="18">
      <x:c r="A18" s="62" t="n">
        <x:v>46143</x:v>
      </x:c>
      <x:c r="B18" s="59" t="str">
        <x:v>Egreso</x:v>
      </x:c>
      <x:c r="C18" s="59" t="str">
        <x:v>Gastos de la cuenta - PC</x:v>
      </x:c>
      <x:c r="D18" s="65" t="n">
        <x:v>910000</x:v>
      </x:c>
      <x:c r="E18" s="108" t="str">
        <x:v>OMAR LOPEZ, KARINA KATHIA ROCIO, Fénix Óptica cristal (registro 1 de 2)</x:v>
      </x:c>
    </x:row>
    <x:row r="19">
      <x:c r="A19" s="62" t="n">
        <x:v>46143</x:v>
      </x:c>
      <x:c r="B19" s="59" t="str">
        <x:v>Egreso</x:v>
      </x:c>
      <x:c r="C19" s="59" t="str">
        <x:v>Gastos de la cuenta - PC</x:v>
      </x:c>
      <x:c r="D19" s="65" t="n">
        <x:v>588000</x:v>
      </x:c>
      <x:c r="E19" s="108" t="str">
        <x:v>Ande</x:v>
      </x:c>
    </x:row>
    <x:row r="20">
      <x:c r="A20" s="62" t="n">
        <x:v>46143</x:v>
      </x:c>
      <x:c r="B20" s="59" t="str">
        <x:v>Egreso</x:v>
      </x:c>
      <x:c r="C20" s="59" t="str">
        <x:v>Gastos de la cuenta - PC</x:v>
      </x:c>
      <x:c r="D20" s="65" t="n">
        <x:v>585000</x:v>
      </x:c>
      <x:c r="E20" s="108" t="str">
        <x:v>TJC Import SRL, Sky Optical lente de contacto Biofinity y Biofinity Toric</x:v>
      </x:c>
    </x:row>
    <x:row r="21">
      <x:c r="A21" s="62" t="n">
        <x:v>46143</x:v>
      </x:c>
      <x:c r="B21" s="59" t="str">
        <x:v>Egreso</x:v>
      </x:c>
      <x:c r="C21" s="59" t="str">
        <x:v>Gastos de la cuenta - PC</x:v>
      </x:c>
      <x:c r="D21" s="65" t="n">
        <x:v>500000</x:v>
      </x:c>
      <x:c r="E21" s="108" t="str">
        <x:v>Mantenimiento Kyrion 2012</x:v>
      </x:c>
    </x:row>
    <x:row r="22">
      <x:c r="A22" s="62" t="n">
        <x:v>46143</x:v>
      </x:c>
      <x:c r="B22" s="59" t="str">
        <x:v>Egreso</x:v>
      </x:c>
      <x:c r="C22" s="59" t="str">
        <x:v>Gastos de la cuenta - PC</x:v>
      </x:c>
      <x:c r="D22" s="65" t="n">
        <x:v>498000</x:v>
      </x:c>
      <x:c r="E22" s="108" t="str">
        <x:v>Graphis</x:v>
      </x:c>
    </x:row>
    <x:row r="23">
      <x:c r="A23" s="62" t="n">
        <x:v>46143</x:v>
      </x:c>
      <x:c r="B23" s="59" t="str">
        <x:v>Egreso</x:v>
      </x:c>
      <x:c r="C23" s="59" t="str">
        <x:v>Gastos de la cuenta - PC</x:v>
      </x:c>
      <x:c r="D23" s="65" t="n">
        <x:v>350000</x:v>
      </x:c>
      <x:c r="E23" s="108" t="str">
        <x:v>Paraguay Box</x:v>
      </x:c>
    </x:row>
    <x:row r="24">
      <x:c r="A24" s="62" t="n">
        <x:v>46143</x:v>
      </x:c>
      <x:c r="B24" s="59" t="str">
        <x:v>Egreso</x:v>
      </x:c>
      <x:c r="C24" s="59" t="str">
        <x:v>Gastos de la cuenta - PC</x:v>
      </x:c>
      <x:c r="D24" s="65" t="n">
        <x:v>350000</x:v>
      </x:c>
      <x:c r="E24" s="108" t="str">
        <x:v>Lic. Ovidio, contador</x:v>
      </x:c>
    </x:row>
    <x:row r="25">
      <x:c r="A25" s="62" t="n">
        <x:v>46143</x:v>
      </x:c>
      <x:c r="B25" s="59" t="str">
        <x:v>Egreso</x:v>
      </x:c>
      <x:c r="C25" s="59" t="str">
        <x:v>Gastos de la cuenta - PC</x:v>
      </x:c>
      <x:c r="D25" s="65" t="n">
        <x:v>240000</x:v>
      </x:c>
      <x:c r="E25" s="108" t="str">
        <x:v>Bepsa POS x2</x:v>
      </x:c>
    </x:row>
    <x:row r="26">
      <x:c r="A26" s="62" t="n">
        <x:v>46143</x:v>
      </x:c>
      <x:c r="B26" s="59" t="str">
        <x:v>Egreso</x:v>
      </x:c>
      <x:c r="C26" s="59" t="str">
        <x:v>Gastos de la cuenta - PC</x:v>
      </x:c>
      <x:c r="D26" s="65" t="n">
        <x:v>100000</x:v>
      </x:c>
      <x:c r="E26" s="108" t="str">
        <x:v>Claudia Avalos, arreglo de linea baja PC</x:v>
      </x:c>
    </x:row>
    <x:row r="27">
      <x:c r="A27" s="62" t="n">
        <x:v>46143</x:v>
      </x:c>
      <x:c r="B27" s="59" t="str">
        <x:v>Egreso</x:v>
      </x:c>
      <x:c r="C27" s="59" t="str">
        <x:v>Gastos de la cuenta - PC</x:v>
      </x:c>
      <x:c r="D27" s="65" t="n">
        <x:v>50000</x:v>
      </x:c>
      <x:c r="E27" s="108" t="str">
        <x:v>CARLOS JAVIER OLMEDO RAMIREZ, balanza digital para pesar pedidos Aliexpress</x:v>
      </x:c>
    </x:row>
    <x:row r="28">
      <x:c r="A28" s="62" t="n">
        <x:v>46143</x:v>
      </x:c>
      <x:c r="B28" s="59" t="str">
        <x:v>Egreso</x:v>
      </x:c>
      <x:c r="C28" s="59" t="str">
        <x:v>Gastos de la cuenta - PC</x:v>
      </x:c>
      <x:c r="D28" s="65" t="n">
        <x:v>350000</x:v>
      </x:c>
      <x:c r="E28" s="108" t="str">
        <x:v>Municipalidad de Asunción (cartelería 349.600)</x:v>
      </x:c>
    </x:row>
    <x:row r="29">
      <x:c r="A29" s="62" t="n">
        <x:v>46143</x:v>
      </x:c>
      <x:c r="B29" s="59" t="str">
        <x:v>Egreso</x:v>
      </x:c>
      <x:c r="C29" s="59" t="str">
        <x:v>Gastos de la cuenta - PC</x:v>
      </x:c>
      <x:c r="D29" s="65" t="n">
        <x:v>910000</x:v>
      </x:c>
      <x:c r="E29" s="108" t="str">
        <x:v>OMAR LOPEZ, KARINA KATHIA ROCIO, Fénix Óptica cristal (registro 2 de 2)</x:v>
      </x:c>
    </x:row>
    <x:row r="30">
      <x:c r="A30" s="62" t="n">
        <x:v>46143</x:v>
      </x:c>
      <x:c r="B30" s="59" t="str">
        <x:v>Egreso</x:v>
      </x:c>
      <x:c r="C30" s="59" t="str">
        <x:v>Gastos de la cuenta - PC</x:v>
      </x:c>
      <x:c r="D30" s="65" t="n">
        <x:v>95000</x:v>
      </x:c>
      <x:c r="E30" s="108" t="str">
        <x:v>Lic. Ovidio, contador balance de la Municipalidad de ASunción</x:v>
      </x:c>
    </x:row>
    <x:row r="31">
      <x:c r="A31" s="62" t="n">
        <x:v>46143</x:v>
      </x:c>
      <x:c r="B31" s="59" t="str">
        <x:v>Egreso</x:v>
      </x:c>
      <x:c r="C31" s="59" t="str">
        <x:v>Gastos de la cuenta - P2</x:v>
      </x:c>
      <x:c r="D31" s="65" t="n">
        <x:v>200000</x:v>
      </x:c>
      <x:c r="E31" s="108" t="str">
        <x:v>Combustible Viaje Pilar 08/05</x:v>
      </x:c>
    </x:row>
    <x:row r="32">
      <x:c r="A32" s="62" t="n">
        <x:v>46143</x:v>
      </x:c>
      <x:c r="B32" s="59" t="str">
        <x:v>Egreso</x:v>
      </x:c>
      <x:c r="C32" s="59" t="str">
        <x:v>Gastos de la cuenta - P2</x:v>
      </x:c>
      <x:c r="D32" s="65" t="n">
        <x:v>200000</x:v>
      </x:c>
      <x:c r="E32" s="108" t="str">
        <x:v>Alcides Acevedo, promo radio "Ricos y sabrosos"</x:v>
      </x:c>
    </x:row>
    <x:row r="33">
      <x:c r="A33" s="62" t="n">
        <x:v>46143</x:v>
      </x:c>
      <x:c r="B33" s="59" t="str">
        <x:v>Egreso</x:v>
      </x:c>
      <x:c r="C33" s="59" t="str">
        <x:v>Gastos de la cuenta - P2</x:v>
      </x:c>
      <x:c r="D33" s="65" t="n">
        <x:v>110000</x:v>
      </x:c>
      <x:c r="E33" s="108" t="str">
        <x:v>Guilermo Acuña Franco, promo radio ZP12</x:v>
      </x:c>
    </x:row>
    <x:row r="34">
      <x:c r="A34" s="62" t="n">
        <x:v>46143</x:v>
      </x:c>
      <x:c r="B34" s="59" t="str">
        <x:v>Egreso</x:v>
      </x:c>
      <x:c r="C34" s="59" t="str">
        <x:v>Cuota de préstamo</x:v>
      </x:c>
      <x:c r="D34" s="65" t="n">
        <x:v>1055563</x:v>
      </x:c>
      <x:c r="E34" s="108" t="str">
        <x:v>Ueno, cuota de préstamo para armazones (Rodrigo 11/12)</x:v>
      </x:c>
    </x:row>
    <x:row r="35">
      <x:c r="A35" s="62" t="n">
        <x:v>46143</x:v>
      </x:c>
      <x:c r="B35" s="59" t="str">
        <x:v>Egreso</x:v>
      </x:c>
      <x:c r="C35" s="59" t="str">
        <x:v>IPS</x:v>
      </x:c>
      <x:c r="D35" s="65" t="n">
        <x:v>2957028</x:v>
      </x:c>
      <x:c r="E35" s="108" t="str">
        <x:v>IPS, patronal</x:v>
      </x:c>
    </x:row>
    <x:row r="36">
      <x:c r="A36" s="62" t="n">
        <x:v>46143</x:v>
      </x:c>
      <x:c r="B36" s="59" t="str">
        <x:v>Egreso</x:v>
      </x:c>
      <x:c r="C36" s="59" t="str">
        <x:v>Systemsoft</x:v>
      </x:c>
      <x:c r="D36" s="65" t="n">
        <x:v>416666</x:v>
      </x:c>
      <x:c r="E36" s="108" t="str">
        <x:v>Systemsoft (sistema) 8/12</x:v>
      </x:c>
    </x:row>
    <x:row r="37">
      <x:c r="A37" s="62" t="n">
        <x:v>46143</x:v>
      </x:c>
      <x:c r="B37" s="59" t="str">
        <x:v>Egreso</x:v>
      </x:c>
      <x:c r="C37" s="59" t="str">
        <x:v>SET</x:v>
      </x:c>
      <x:c r="D37" s="65" t="n">
        <x:v>591896</x:v>
      </x:c>
      <x:c r="E37" s="108" t="str">
        <x:v>SET, IVA 36.439, IRE 577.997</x:v>
      </x:c>
    </x:row>
    <x:row r="38">
      <x:c r="A38" s="62" t="n">
        <x:v>46143</x:v>
      </x:c>
      <x:c r="B38" s="59" t="str">
        <x:v>Egreso</x:v>
      </x:c>
      <x:c r="C38" s="59" t="str">
        <x:v>Porta - Marketing</x:v>
      </x:c>
      <x:c r="D38" s="65" t="n">
        <x:v>5980000</x:v>
      </x:c>
      <x:c r="E38" s="108" t="str">
        <x:v>Porta, social marketing</x:v>
      </x:c>
    </x:row>
    <x:row r="39">
      <x:c r="A39" s="62" t="n">
        <x:v>46143</x:v>
      </x:c>
      <x:c r="B39" s="59" t="str">
        <x:v>Egreso</x:v>
      </x:c>
      <x:c r="C39" s="59" t="str">
        <x:v>Pago de tarjeta de crédito</x:v>
      </x:c>
      <x:c r="D39" s="65" t="n">
        <x:v>4000000</x:v>
      </x:c>
      <x:c r="E39" s="108" t="str">
        <x:v>Pago de tarjeta de crédito, Clasica 2.000.000 (compras Aliexpress) y Oro 2.000.000 (Porta redes sociales)</x:v>
      </x:c>
    </x:row>
    <x:row r="40">
      <x:c r="A40" s="62" t="n">
        <x:v>46143</x:v>
      </x:c>
      <x:c r="B40" s="59" t="str">
        <x:v>Egreso</x:v>
      </x:c>
      <x:c r="C40" s="59" t="str">
        <x:v>Bancard</x:v>
      </x:c>
      <x:c r="D40" s="65" t="n">
        <x:v>1613030</x:v>
      </x:c>
      <x:c r="E40" s="108" t="str">
        <x:v>Bancard hasta Nidia 1.526.610 30/05</x:v>
      </x:c>
    </x:row>
    <x:row r="41">
      <x:c r="A41" s="62"/>
      <x:c r="B41" s="59"/>
      <x:c r="C41" s="59"/>
      <x:c r="D41" s="65"/>
      <x:c r="E41" s="70"/>
    </x:row>
    <x:row r="42">
      <x:c r="A42" s="62"/>
      <x:c r="B42" s="59"/>
      <x:c r="C42" s="59"/>
      <x:c r="D42" s="65"/>
      <x:c r="E42" s="70"/>
    </x:row>
    <x:row r="43">
      <x:c r="A43" s="62"/>
      <x:c r="B43" s="59"/>
      <x:c r="C43" s="59"/>
      <x:c r="D43" s="65"/>
      <x:c r="E43" s="70"/>
    </x:row>
    <x:row r="44">
      <x:c r="A44" s="62"/>
      <x:c r="B44" s="59"/>
      <x:c r="C44" s="59"/>
      <x:c r="D44" s="65"/>
      <x:c r="E44" s="70"/>
    </x:row>
    <x:row r="45">
      <x:c r="A45" s="62"/>
      <x:c r="B45" s="59"/>
      <x:c r="C45" s="59"/>
      <x:c r="D45" s="65"/>
      <x:c r="E45" s="70"/>
    </x:row>
    <x:row r="46">
      <x:c r="A46" s="62"/>
      <x:c r="B46" s="59"/>
      <x:c r="C46" s="59"/>
      <x:c r="D46" s="65"/>
      <x:c r="E46" s="70"/>
    </x:row>
    <x:row r="47">
      <x:c r="A47" s="62"/>
      <x:c r="B47" s="59"/>
      <x:c r="C47" s="59"/>
      <x:c r="D47" s="65"/>
      <x:c r="E47" s="70"/>
    </x:row>
    <x:row r="48">
      <x:c r="A48" s="62"/>
      <x:c r="B48" s="59"/>
      <x:c r="C48" s="59"/>
      <x:c r="D48" s="65"/>
      <x:c r="E48" s="70"/>
    </x:row>
    <x:row r="49">
      <x:c r="A49" s="62"/>
      <x:c r="B49" s="59"/>
      <x:c r="C49" s="59"/>
      <x:c r="D49" s="65"/>
      <x:c r="E49" s="70"/>
    </x:row>
    <x:row r="50">
      <x:c r="A50" s="62"/>
      <x:c r="B50" s="59"/>
      <x:c r="C50" s="59"/>
      <x:c r="D50" s="65"/>
      <x:c r="E50" s="70"/>
    </x:row>
    <x:row r="51">
      <x:c r="A51" s="62"/>
      <x:c r="B51" s="59"/>
      <x:c r="C51" s="59"/>
      <x:c r="D51" s="65"/>
      <x:c r="E51" s="70"/>
    </x:row>
    <x:row r="52">
      <x:c r="A52" s="62"/>
      <x:c r="B52" s="59"/>
      <x:c r="C52" s="59"/>
      <x:c r="D52" s="65"/>
      <x:c r="E52" s="70"/>
    </x:row>
    <x:row r="53">
      <x:c r="A53" s="62"/>
      <x:c r="B53" s="59"/>
      <x:c r="C53" s="59"/>
      <x:c r="D53" s="65"/>
      <x:c r="E53" s="70"/>
    </x:row>
    <x:row r="54">
      <x:c r="A54" s="62"/>
      <x:c r="B54" s="59"/>
      <x:c r="C54" s="59"/>
      <x:c r="D54" s="65"/>
      <x:c r="E54" s="70"/>
    </x:row>
    <x:row r="55">
      <x:c r="A55" s="62"/>
      <x:c r="B55" s="59"/>
      <x:c r="C55" s="59"/>
      <x:c r="D55" s="65"/>
      <x:c r="E55" s="70"/>
    </x:row>
    <x:row r="56">
      <x:c r="A56" s="62"/>
      <x:c r="B56" s="59"/>
      <x:c r="C56" s="59"/>
      <x:c r="D56" s="65"/>
      <x:c r="E56" s="70"/>
    </x:row>
    <x:row r="57">
      <x:c r="A57" s="62"/>
      <x:c r="B57" s="59"/>
      <x:c r="C57" s="59"/>
      <x:c r="D57" s="65"/>
      <x:c r="E57" s="70"/>
    </x:row>
    <x:row r="58">
      <x:c r="A58" s="62"/>
      <x:c r="B58" s="59"/>
      <x:c r="C58" s="59"/>
      <x:c r="D58" s="65"/>
      <x:c r="E58" s="70"/>
    </x:row>
    <x:row r="59">
      <x:c r="A59" s="62"/>
      <x:c r="B59" s="59"/>
      <x:c r="C59" s="59"/>
      <x:c r="D59" s="65"/>
      <x:c r="E59" s="70"/>
    </x:row>
    <x:row r="60">
      <x:c r="A60" s="62"/>
      <x:c r="B60" s="59"/>
      <x:c r="C60" s="59"/>
      <x:c r="D60" s="65"/>
      <x:c r="E60" s="70"/>
    </x:row>
    <x:row r="61">
      <x:c r="A61" s="62"/>
      <x:c r="B61" s="59"/>
      <x:c r="C61" s="59"/>
      <x:c r="D61" s="65"/>
      <x:c r="E61" s="70"/>
    </x:row>
    <x:row r="62">
      <x:c r="A62" s="62"/>
      <x:c r="B62" s="59"/>
      <x:c r="C62" s="59"/>
      <x:c r="D62" s="65"/>
      <x:c r="E62" s="70"/>
    </x:row>
    <x:row r="63">
      <x:c r="A63" s="62"/>
      <x:c r="B63" s="59"/>
      <x:c r="C63" s="59"/>
      <x:c r="D63" s="65"/>
      <x:c r="E63" s="70"/>
    </x:row>
    <x:row r="64">
      <x:c r="A64" s="62"/>
      <x:c r="B64" s="59"/>
      <x:c r="C64" s="59"/>
      <x:c r="D64" s="65"/>
      <x:c r="E64" s="70"/>
    </x:row>
    <x:row r="65">
      <x:c r="A65" s="62"/>
      <x:c r="B65" s="59"/>
      <x:c r="C65" s="59"/>
      <x:c r="D65" s="65"/>
      <x:c r="E65" s="70"/>
    </x:row>
    <x:row r="66">
      <x:c r="A66" s="62"/>
      <x:c r="B66" s="59"/>
      <x:c r="C66" s="59"/>
      <x:c r="D66" s="65"/>
      <x:c r="E66" s="70"/>
    </x:row>
    <x:row r="67">
      <x:c r="A67" s="62"/>
      <x:c r="B67" s="59"/>
      <x:c r="C67" s="59"/>
      <x:c r="D67" s="65"/>
      <x:c r="E67" s="70"/>
    </x:row>
    <x:row r="68">
      <x:c r="A68" s="62"/>
      <x:c r="B68" s="59"/>
      <x:c r="C68" s="59"/>
      <x:c r="D68" s="65"/>
      <x:c r="E68" s="70"/>
    </x:row>
    <x:row r="69">
      <x:c r="A69" s="62"/>
      <x:c r="B69" s="59"/>
      <x:c r="C69" s="59"/>
      <x:c r="D69" s="65"/>
      <x:c r="E69" s="70"/>
    </x:row>
    <x:row r="70">
      <x:c r="A70" s="62"/>
      <x:c r="B70" s="59"/>
      <x:c r="C70" s="59"/>
      <x:c r="D70" s="65"/>
      <x:c r="E70" s="70"/>
    </x:row>
    <x:row r="71">
      <x:c r="A71" s="62"/>
      <x:c r="B71" s="59"/>
      <x:c r="C71" s="59"/>
      <x:c r="D71" s="65"/>
      <x:c r="E71" s="70"/>
    </x:row>
    <x:row r="72">
      <x:c r="A72" s="62"/>
      <x:c r="B72" s="59"/>
      <x:c r="C72" s="59"/>
      <x:c r="D72" s="65"/>
      <x:c r="E72" s="70"/>
    </x:row>
    <x:row r="73">
      <x:c r="A73" s="62"/>
      <x:c r="B73" s="59"/>
      <x:c r="C73" s="59"/>
      <x:c r="D73" s="65"/>
      <x:c r="E73" s="70"/>
    </x:row>
    <x:row r="74">
      <x:c r="A74" s="62"/>
      <x:c r="B74" s="59"/>
      <x:c r="C74" s="59"/>
      <x:c r="D74" s="65"/>
      <x:c r="E74" s="70"/>
    </x:row>
    <x:row r="75">
      <x:c r="A75" s="62"/>
      <x:c r="B75" s="59"/>
      <x:c r="C75" s="59"/>
      <x:c r="D75" s="65"/>
      <x:c r="E75" s="70"/>
    </x:row>
    <x:row r="76">
      <x:c r="A76" s="62"/>
      <x:c r="B76" s="59"/>
      <x:c r="C76" s="59"/>
      <x:c r="D76" s="65"/>
      <x:c r="E76" s="70"/>
    </x:row>
    <x:row r="77">
      <x:c r="A77" s="62"/>
      <x:c r="B77" s="59"/>
      <x:c r="C77" s="59"/>
      <x:c r="D77" s="65"/>
      <x:c r="E77" s="70"/>
    </x:row>
    <x:row r="78">
      <x:c r="A78" s="62"/>
      <x:c r="B78" s="59"/>
      <x:c r="C78" s="59"/>
      <x:c r="D78" s="65"/>
      <x:c r="E78" s="70"/>
    </x:row>
    <x:row r="79">
      <x:c r="A79" s="62"/>
      <x:c r="B79" s="59"/>
      <x:c r="C79" s="59"/>
      <x:c r="D79" s="65"/>
      <x:c r="E79" s="70"/>
    </x:row>
    <x:row r="80">
      <x:c r="A80" s="62"/>
      <x:c r="B80" s="59"/>
      <x:c r="C80" s="59"/>
      <x:c r="D80" s="65"/>
      <x:c r="E80" s="70"/>
    </x:row>
    <x:row r="81">
      <x:c r="A81" s="62"/>
      <x:c r="B81" s="59"/>
      <x:c r="C81" s="59"/>
      <x:c r="D81" s="65"/>
      <x:c r="E81" s="70"/>
    </x:row>
    <x:row r="82">
      <x:c r="A82" s="62"/>
      <x:c r="B82" s="59"/>
      <x:c r="C82" s="59"/>
      <x:c r="D82" s="65"/>
      <x:c r="E82" s="70"/>
    </x:row>
    <x:row r="83">
      <x:c r="A83" s="62"/>
      <x:c r="B83" s="59"/>
      <x:c r="C83" s="59"/>
      <x:c r="D83" s="65"/>
      <x:c r="E83" s="70"/>
    </x:row>
    <x:row r="84">
      <x:c r="A84" s="62"/>
      <x:c r="B84" s="59"/>
      <x:c r="C84" s="59"/>
      <x:c r="D84" s="65"/>
      <x:c r="E84" s="70"/>
    </x:row>
    <x:row r="85">
      <x:c r="A85" s="62"/>
      <x:c r="B85" s="59"/>
      <x:c r="C85" s="59"/>
      <x:c r="D85" s="65"/>
      <x:c r="E85" s="70"/>
    </x:row>
    <x:row r="86">
      <x:c r="A86" s="62"/>
      <x:c r="B86" s="59"/>
      <x:c r="C86" s="59"/>
      <x:c r="D86" s="65"/>
      <x:c r="E86" s="70"/>
    </x:row>
    <x:row r="87">
      <x:c r="A87" s="62"/>
      <x:c r="B87" s="59"/>
      <x:c r="C87" s="59"/>
      <x:c r="D87" s="65"/>
      <x:c r="E87" s="70"/>
    </x:row>
    <x:row r="88">
      <x:c r="A88" s="62"/>
      <x:c r="B88" s="59"/>
      <x:c r="C88" s="59"/>
      <x:c r="D88" s="65"/>
      <x:c r="E88" s="70"/>
    </x:row>
    <x:row r="89">
      <x:c r="A89" s="62"/>
      <x:c r="B89" s="59"/>
      <x:c r="C89" s="59"/>
      <x:c r="D89" s="65"/>
      <x:c r="E89" s="70"/>
    </x:row>
    <x:row r="90">
      <x:c r="A90" s="62"/>
      <x:c r="B90" s="59"/>
      <x:c r="C90" s="59"/>
      <x:c r="D90" s="65"/>
      <x:c r="E90" s="70"/>
    </x:row>
    <x:row r="91">
      <x:c r="A91" s="62"/>
      <x:c r="B91" s="59"/>
      <x:c r="C91" s="59"/>
      <x:c r="D91" s="65"/>
      <x:c r="E91" s="70"/>
    </x:row>
    <x:row r="92">
      <x:c r="A92" s="62"/>
      <x:c r="B92" s="59"/>
      <x:c r="C92" s="59"/>
      <x:c r="D92" s="65"/>
      <x:c r="E92" s="70"/>
    </x:row>
    <x:row r="93">
      <x:c r="A93" s="62"/>
      <x:c r="B93" s="59"/>
      <x:c r="C93" s="59"/>
      <x:c r="D93" s="65"/>
      <x:c r="E93" s="70"/>
    </x:row>
    <x:row r="94">
      <x:c r="A94" s="62"/>
      <x:c r="B94" s="59"/>
      <x:c r="C94" s="59"/>
      <x:c r="D94" s="65"/>
      <x:c r="E94" s="70"/>
    </x:row>
    <x:row r="95">
      <x:c r="A95" s="62"/>
      <x:c r="B95" s="59"/>
      <x:c r="C95" s="59"/>
      <x:c r="D95" s="65"/>
      <x:c r="E95" s="70"/>
    </x:row>
    <x:row r="96">
      <x:c r="A96" s="62"/>
      <x:c r="B96" s="59"/>
      <x:c r="C96" s="59"/>
      <x:c r="D96" s="65"/>
      <x:c r="E96" s="70"/>
    </x:row>
    <x:row r="97">
      <x:c r="A97" s="62"/>
      <x:c r="B97" s="59"/>
      <x:c r="C97" s="59"/>
      <x:c r="D97" s="65"/>
      <x:c r="E97" s="70"/>
    </x:row>
    <x:row r="98">
      <x:c r="A98" s="62"/>
      <x:c r="B98" s="59"/>
      <x:c r="C98" s="59"/>
      <x:c r="D98" s="65"/>
      <x:c r="E98" s="70"/>
    </x:row>
    <x:row r="99">
      <x:c r="A99" s="62"/>
      <x:c r="B99" s="59"/>
      <x:c r="C99" s="59"/>
      <x:c r="D99" s="65"/>
      <x:c r="E99" s="70"/>
    </x:row>
    <x:row r="100">
      <x:c r="A100" s="62"/>
      <x:c r="B100" s="59"/>
      <x:c r="C100" s="59"/>
      <x:c r="D100" s="65"/>
      <x:c r="E100" s="70"/>
    </x:row>
    <x:row r="101">
      <x:c r="A101" s="62"/>
      <x:c r="B101" s="59"/>
      <x:c r="C101" s="59"/>
      <x:c r="D101" s="65"/>
      <x:c r="E101" s="70"/>
    </x:row>
    <x:row r="102">
      <x:c r="A102" s="62"/>
      <x:c r="B102" s="59"/>
      <x:c r="C102" s="59"/>
      <x:c r="D102" s="65"/>
      <x:c r="E102" s="70"/>
    </x:row>
    <x:row r="103">
      <x:c r="A103" s="62"/>
      <x:c r="B103" s="59"/>
      <x:c r="C103" s="59"/>
      <x:c r="D103" s="65"/>
      <x:c r="E103" s="70"/>
    </x:row>
    <x:row r="104">
      <x:c r="A104" s="62"/>
      <x:c r="B104" s="59"/>
      <x:c r="C104" s="59"/>
      <x:c r="D104" s="65"/>
      <x:c r="E104" s="70"/>
    </x:row>
    <x:row r="105">
      <x:c r="A105" s="62"/>
      <x:c r="B105" s="59"/>
      <x:c r="C105" s="59"/>
      <x:c r="D105" s="65"/>
      <x:c r="E105" s="70"/>
    </x:row>
    <x:row r="106">
      <x:c r="A106" s="62"/>
      <x:c r="B106" s="59"/>
      <x:c r="C106" s="59"/>
      <x:c r="D106" s="65"/>
      <x:c r="E106" s="70"/>
    </x:row>
    <x:row r="107">
      <x:c r="A107" s="62"/>
      <x:c r="B107" s="59"/>
      <x:c r="C107" s="59"/>
      <x:c r="D107" s="65"/>
      <x:c r="E107" s="70"/>
    </x:row>
    <x:row r="108">
      <x:c r="A108" s="62"/>
      <x:c r="B108" s="59"/>
      <x:c r="C108" s="59"/>
      <x:c r="D108" s="65"/>
      <x:c r="E108" s="70"/>
    </x:row>
    <x:row r="109">
      <x:c r="A109" s="62"/>
      <x:c r="B109" s="59"/>
      <x:c r="C109" s="59"/>
      <x:c r="D109" s="65"/>
      <x:c r="E109" s="70"/>
    </x:row>
    <x:row r="110">
      <x:c r="A110" s="62"/>
      <x:c r="B110" s="59"/>
      <x:c r="C110" s="59"/>
      <x:c r="D110" s="65"/>
      <x:c r="E110" s="70"/>
    </x:row>
    <x:row r="111">
      <x:c r="A111" s="62"/>
      <x:c r="B111" s="59"/>
      <x:c r="C111" s="59"/>
      <x:c r="D111" s="65"/>
      <x:c r="E111" s="70"/>
    </x:row>
    <x:row r="112">
      <x:c r="A112" s="62"/>
      <x:c r="B112" s="59"/>
      <x:c r="C112" s="59"/>
      <x:c r="D112" s="65"/>
      <x:c r="E112" s="70"/>
    </x:row>
    <x:row r="113">
      <x:c r="A113" s="62"/>
      <x:c r="B113" s="59"/>
      <x:c r="C113" s="59"/>
      <x:c r="D113" s="65"/>
      <x:c r="E113" s="70"/>
    </x:row>
    <x:row r="114">
      <x:c r="A114" s="62"/>
      <x:c r="B114" s="59"/>
      <x:c r="C114" s="59"/>
      <x:c r="D114" s="65"/>
      <x:c r="E114" s="70"/>
    </x:row>
    <x:row r="115">
      <x:c r="A115" s="62"/>
      <x:c r="B115" s="59"/>
      <x:c r="C115" s="59"/>
      <x:c r="D115" s="65"/>
      <x:c r="E115" s="70"/>
    </x:row>
    <x:row r="116">
      <x:c r="A116" s="62"/>
      <x:c r="B116" s="59"/>
      <x:c r="C116" s="59"/>
      <x:c r="D116" s="65"/>
      <x:c r="E116" s="70"/>
    </x:row>
    <x:row r="117">
      <x:c r="A117" s="62"/>
      <x:c r="B117" s="59"/>
      <x:c r="C117" s="59"/>
      <x:c r="D117" s="65"/>
      <x:c r="E117" s="70"/>
    </x:row>
    <x:row r="118">
      <x:c r="A118" s="62"/>
      <x:c r="B118" s="59"/>
      <x:c r="C118" s="59"/>
      <x:c r="D118" s="65"/>
      <x:c r="E118" s="70"/>
    </x:row>
    <x:row r="119">
      <x:c r="A119" s="62"/>
      <x:c r="B119" s="59"/>
      <x:c r="C119" s="59"/>
      <x:c r="D119" s="65"/>
      <x:c r="E119" s="70"/>
    </x:row>
    <x:row r="120">
      <x:c r="A120" s="62"/>
      <x:c r="B120" s="59"/>
      <x:c r="C120" s="59"/>
      <x:c r="D120" s="65"/>
      <x:c r="E120" s="70"/>
    </x:row>
    <x:row r="121">
      <x:c r="A121" s="62"/>
      <x:c r="B121" s="59"/>
      <x:c r="C121" s="59"/>
      <x:c r="D121" s="65"/>
      <x:c r="E121" s="70"/>
    </x:row>
    <x:row r="122">
      <x:c r="A122" s="62"/>
      <x:c r="B122" s="59"/>
      <x:c r="C122" s="59"/>
      <x:c r="D122" s="65"/>
      <x:c r="E122" s="70"/>
    </x:row>
    <x:row r="123">
      <x:c r="A123" s="62"/>
      <x:c r="B123" s="59"/>
      <x:c r="C123" s="59"/>
      <x:c r="D123" s="65"/>
      <x:c r="E123" s="70"/>
    </x:row>
    <x:row r="124">
      <x:c r="A124" s="62"/>
      <x:c r="B124" s="59"/>
      <x:c r="C124" s="59"/>
      <x:c r="D124" s="65"/>
      <x:c r="E124" s="70"/>
    </x:row>
    <x:row r="125">
      <x:c r="A125" s="62"/>
      <x:c r="B125" s="59"/>
      <x:c r="C125" s="59"/>
      <x:c r="D125" s="65"/>
      <x:c r="E125" s="70"/>
    </x:row>
    <x:row r="126">
      <x:c r="A126" s="62"/>
      <x:c r="B126" s="59"/>
      <x:c r="C126" s="59"/>
      <x:c r="D126" s="65"/>
      <x:c r="E126" s="70"/>
    </x:row>
    <x:row r="127">
      <x:c r="A127" s="62"/>
      <x:c r="B127" s="59"/>
      <x:c r="C127" s="59"/>
      <x:c r="D127" s="65"/>
      <x:c r="E127" s="70"/>
    </x:row>
    <x:row r="128">
      <x:c r="A128" s="62"/>
      <x:c r="B128" s="59"/>
      <x:c r="C128" s="59"/>
      <x:c r="D128" s="65"/>
      <x:c r="E128" s="70"/>
    </x:row>
    <x:row r="129">
      <x:c r="A129" s="62"/>
      <x:c r="B129" s="59"/>
      <x:c r="C129" s="59"/>
      <x:c r="D129" s="65"/>
      <x:c r="E129" s="70"/>
    </x:row>
    <x:row r="130">
      <x:c r="A130" s="62"/>
      <x:c r="B130" s="59"/>
      <x:c r="C130" s="59"/>
      <x:c r="D130" s="65"/>
      <x:c r="E130" s="70"/>
    </x:row>
    <x:row r="131">
      <x:c r="A131" s="62"/>
      <x:c r="B131" s="59"/>
      <x:c r="C131" s="59"/>
      <x:c r="D131" s="65"/>
      <x:c r="E131" s="70"/>
    </x:row>
    <x:row r="132">
      <x:c r="A132" s="62"/>
      <x:c r="B132" s="59"/>
      <x:c r="C132" s="59"/>
      <x:c r="D132" s="65"/>
      <x:c r="E132" s="70"/>
    </x:row>
    <x:row r="133">
      <x:c r="A133" s="62"/>
      <x:c r="B133" s="59"/>
      <x:c r="C133" s="59"/>
      <x:c r="D133" s="65"/>
      <x:c r="E133" s="70"/>
    </x:row>
    <x:row r="134">
      <x:c r="A134" s="62"/>
      <x:c r="B134" s="59"/>
      <x:c r="C134" s="59"/>
      <x:c r="D134" s="65"/>
      <x:c r="E134" s="70"/>
    </x:row>
    <x:row r="135">
      <x:c r="A135" s="62"/>
      <x:c r="B135" s="59"/>
      <x:c r="C135" s="59"/>
      <x:c r="D135" s="65"/>
      <x:c r="E135" s="70"/>
    </x:row>
    <x:row r="136">
      <x:c r="A136" s="62"/>
      <x:c r="B136" s="59"/>
      <x:c r="C136" s="59"/>
      <x:c r="D136" s="65"/>
      <x:c r="E136" s="70"/>
    </x:row>
    <x:row r="137">
      <x:c r="A137" s="62"/>
      <x:c r="B137" s="59"/>
      <x:c r="C137" s="59"/>
      <x:c r="D137" s="65"/>
      <x:c r="E137" s="70"/>
    </x:row>
    <x:row r="138">
      <x:c r="A138" s="62"/>
      <x:c r="B138" s="59"/>
      <x:c r="C138" s="59"/>
      <x:c r="D138" s="65"/>
      <x:c r="E138" s="70"/>
    </x:row>
    <x:row r="139">
      <x:c r="A139" s="62"/>
      <x:c r="B139" s="59"/>
      <x:c r="C139" s="59"/>
      <x:c r="D139" s="65"/>
      <x:c r="E139" s="70"/>
    </x:row>
    <x:row r="140">
      <x:c r="A140" s="62"/>
      <x:c r="B140" s="59"/>
      <x:c r="C140" s="59"/>
      <x:c r="D140" s="65"/>
      <x:c r="E140" s="70"/>
    </x:row>
    <x:row r="141">
      <x:c r="A141" s="62"/>
      <x:c r="B141" s="59"/>
      <x:c r="C141" s="59"/>
      <x:c r="D141" s="65"/>
      <x:c r="E141" s="70"/>
    </x:row>
    <x:row r="142">
      <x:c r="A142" s="62"/>
      <x:c r="B142" s="59"/>
      <x:c r="C142" s="59"/>
      <x:c r="D142" s="65"/>
      <x:c r="E142" s="70"/>
    </x:row>
    <x:row r="143">
      <x:c r="A143" s="62"/>
      <x:c r="B143" s="59"/>
      <x:c r="C143" s="59"/>
      <x:c r="D143" s="65"/>
      <x:c r="E143" s="70"/>
    </x:row>
    <x:row r="144">
      <x:c r="A144" s="62"/>
      <x:c r="B144" s="59"/>
      <x:c r="C144" s="59"/>
      <x:c r="D144" s="65"/>
      <x:c r="E144" s="70"/>
    </x:row>
    <x:row r="145">
      <x:c r="A145" s="62"/>
      <x:c r="B145" s="59"/>
      <x:c r="C145" s="59"/>
      <x:c r="D145" s="65"/>
      <x:c r="E145" s="70"/>
    </x:row>
    <x:row r="146">
      <x:c r="A146" s="62"/>
      <x:c r="B146" s="59"/>
      <x:c r="C146" s="59"/>
      <x:c r="D146" s="65"/>
      <x:c r="E146" s="70"/>
    </x:row>
    <x:row r="147">
      <x:c r="A147" s="62"/>
      <x:c r="B147" s="59"/>
      <x:c r="C147" s="59"/>
      <x:c r="D147" s="65"/>
      <x:c r="E147" s="70"/>
    </x:row>
    <x:row r="148">
      <x:c r="A148" s="62"/>
      <x:c r="B148" s="59"/>
      <x:c r="C148" s="59"/>
      <x:c r="D148" s="65"/>
      <x:c r="E148" s="70"/>
    </x:row>
    <x:row r="149">
      <x:c r="A149" s="62"/>
      <x:c r="B149" s="59"/>
      <x:c r="C149" s="59"/>
      <x:c r="D149" s="65"/>
      <x:c r="E149" s="70"/>
    </x:row>
    <x:row r="150">
      <x:c r="A150" s="62"/>
      <x:c r="B150" s="59"/>
      <x:c r="C150" s="59"/>
      <x:c r="D150" s="65"/>
      <x:c r="E150" s="70"/>
    </x:row>
    <x:row r="151">
      <x:c r="A151" s="62"/>
      <x:c r="B151" s="59"/>
      <x:c r="C151" s="59"/>
      <x:c r="D151" s="65"/>
      <x:c r="E151" s="70"/>
    </x:row>
    <x:row r="152">
      <x:c r="A152" s="62"/>
      <x:c r="B152" s="59"/>
      <x:c r="C152" s="59"/>
      <x:c r="D152" s="65"/>
      <x:c r="E152" s="70"/>
    </x:row>
    <x:row r="153">
      <x:c r="A153" s="62"/>
      <x:c r="B153" s="59"/>
      <x:c r="C153" s="59"/>
      <x:c r="D153" s="65"/>
      <x:c r="E153" s="70"/>
    </x:row>
    <x:row r="154">
      <x:c r="A154" s="63"/>
      <x:c r="B154" s="60"/>
      <x:c r="C154" s="60"/>
      <x:c r="D154" s="66"/>
      <x:c r="E154" s="71"/>
    </x:row>
  </x:sheetData>
  <x:mergeCells>
    <x:mergeCell ref="A1:E1"/>
    <x:mergeCell ref="A2:E2"/>
  </x:mergeCells>
  <x:dataValidations count="1">
    <x:dataValidation type="list" sqref="B5:B154">
      <x:formula1>"Ingreso,Egreso"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2" hidden="0" customWidth="1"/>
    <x:col min="3" max="3" width="20" hidden="0" customWidth="1"/>
  </x:cols>
  <x:sheetData>
    <x:row r="1" ht="34" customHeight="1">
      <x:c r="A1" s="48" t="str">
        <x:v>Inversiones</x:v>
      </x:c>
    </x:row>
    <x:row r="2" ht="36" customHeight="1">
      <x:c r="A2" s="51" t="str">
        <x:v>La inversión se registra para control, pero no suma como ingreso ni resta como egreso del cierre.</x:v>
      </x:c>
    </x:row>
    <x:row r="4" ht="32" customHeight="1">
      <x:c r="A4" s="56" t="str">
        <x:v>Fecha</x:v>
      </x:c>
      <x:c r="B4" s="56" t="str">
        <x:v>Descripción</x:v>
      </x:c>
      <x:c r="C4" s="56" t="str">
        <x:v>Monto</x:v>
      </x:c>
    </x:row>
    <x:row r="5">
      <x:c r="A5" s="61" t="n">
        <x:v>46143</x:v>
      </x:c>
      <x:c r="B5" s="58" t="str">
        <x:v>Bosani, armazones para catálogo web</x:v>
      </x:c>
      <x:c r="C5" s="64" t="n">
        <x:v>6083000</x:v>
      </x:c>
    </x:row>
    <x:row r="6">
      <x:c r="A6" s="62"/>
      <x:c r="B6" s="59"/>
      <x:c r="C6" s="65"/>
    </x:row>
    <x:row r="7">
      <x:c r="A7" s="62"/>
      <x:c r="B7" s="59"/>
      <x:c r="C7" s="65"/>
    </x:row>
    <x:row r="8">
      <x:c r="A8" s="62"/>
      <x:c r="B8" s="59"/>
      <x:c r="C8" s="65"/>
    </x:row>
    <x:row r="9">
      <x:c r="A9" s="62"/>
      <x:c r="B9" s="59"/>
      <x:c r="C9" s="65"/>
    </x:row>
    <x:row r="10">
      <x:c r="A10" s="62"/>
      <x:c r="B10" s="59"/>
      <x:c r="C10" s="65"/>
    </x:row>
    <x:row r="11">
      <x:c r="A11" s="62"/>
      <x:c r="B11" s="59"/>
      <x:c r="C11" s="65"/>
    </x:row>
    <x:row r="12">
      <x:c r="A12" s="62"/>
      <x:c r="B12" s="59"/>
      <x:c r="C12" s="65"/>
    </x:row>
    <x:row r="13">
      <x:c r="A13" s="62"/>
      <x:c r="B13" s="59"/>
      <x:c r="C13" s="65"/>
    </x:row>
    <x:row r="14">
      <x:c r="A14" s="62"/>
      <x:c r="B14" s="59"/>
      <x:c r="C14" s="65"/>
    </x:row>
    <x:row r="15">
      <x:c r="A15" s="62"/>
      <x:c r="B15" s="59"/>
      <x:c r="C15" s="65"/>
    </x:row>
    <x:row r="16">
      <x:c r="A16" s="62"/>
      <x:c r="B16" s="59"/>
      <x:c r="C16" s="65"/>
    </x:row>
    <x:row r="17">
      <x:c r="A17" s="62"/>
      <x:c r="B17" s="59"/>
      <x:c r="C17" s="65"/>
    </x:row>
    <x:row r="18">
      <x:c r="A18" s="62"/>
      <x:c r="B18" s="59"/>
      <x:c r="C18" s="65"/>
    </x:row>
    <x:row r="19">
      <x:c r="A19" s="62"/>
      <x:c r="B19" s="59"/>
      <x:c r="C19" s="65"/>
    </x:row>
    <x:row r="20">
      <x:c r="A20" s="62"/>
      <x:c r="B20" s="59"/>
      <x:c r="C20" s="65"/>
    </x:row>
    <x:row r="21">
      <x:c r="A21" s="62"/>
      <x:c r="B21" s="59"/>
      <x:c r="C21" s="65"/>
    </x:row>
    <x:row r="22">
      <x:c r="A22" s="62"/>
      <x:c r="B22" s="59"/>
      <x:c r="C22" s="65"/>
    </x:row>
    <x:row r="23">
      <x:c r="A23" s="62"/>
      <x:c r="B23" s="59"/>
      <x:c r="C23" s="65"/>
    </x:row>
    <x:row r="24">
      <x:c r="A24" s="62"/>
      <x:c r="B24" s="59"/>
      <x:c r="C24" s="65"/>
    </x:row>
    <x:row r="25">
      <x:c r="A25" s="62"/>
      <x:c r="B25" s="59"/>
      <x:c r="C25" s="65"/>
    </x:row>
    <x:row r="26">
      <x:c r="A26" s="62"/>
      <x:c r="B26" s="59"/>
      <x:c r="C26" s="65"/>
    </x:row>
    <x:row r="27">
      <x:c r="A27" s="62"/>
      <x:c r="B27" s="59"/>
      <x:c r="C27" s="65"/>
    </x:row>
    <x:row r="28">
      <x:c r="A28" s="62"/>
      <x:c r="B28" s="59"/>
      <x:c r="C28" s="65"/>
    </x:row>
    <x:row r="29">
      <x:c r="A29" s="62"/>
      <x:c r="B29" s="59"/>
      <x:c r="C29" s="65"/>
    </x:row>
    <x:row r="30">
      <x:c r="A30" s="62"/>
      <x:c r="B30" s="59"/>
      <x:c r="C30" s="65"/>
    </x:row>
    <x:row r="31">
      <x:c r="A31" s="62"/>
      <x:c r="B31" s="59"/>
      <x:c r="C31" s="65"/>
    </x:row>
    <x:row r="32">
      <x:c r="A32" s="62"/>
      <x:c r="B32" s="59"/>
      <x:c r="C32" s="65"/>
    </x:row>
    <x:row r="33">
      <x:c r="A33" s="62"/>
      <x:c r="B33" s="59"/>
      <x:c r="C33" s="65"/>
    </x:row>
    <x:row r="34">
      <x:c r="A34" s="62"/>
      <x:c r="B34" s="59"/>
      <x:c r="C34" s="65"/>
    </x:row>
    <x:row r="35">
      <x:c r="A35" s="62"/>
      <x:c r="B35" s="59"/>
      <x:c r="C35" s="65"/>
    </x:row>
    <x:row r="36">
      <x:c r="A36" s="62"/>
      <x:c r="B36" s="59"/>
      <x:c r="C36" s="65"/>
    </x:row>
    <x:row r="37">
      <x:c r="A37" s="62"/>
      <x:c r="B37" s="59"/>
      <x:c r="C37" s="65"/>
    </x:row>
    <x:row r="38">
      <x:c r="A38" s="62"/>
      <x:c r="B38" s="59"/>
      <x:c r="C38" s="65"/>
    </x:row>
    <x:row r="39">
      <x:c r="A39" s="62"/>
      <x:c r="B39" s="59"/>
      <x:c r="C39" s="65"/>
    </x:row>
    <x:row r="40">
      <x:c r="A40" s="62"/>
      <x:c r="B40" s="59"/>
      <x:c r="C40" s="65"/>
    </x:row>
    <x:row r="41">
      <x:c r="A41" s="62"/>
      <x:c r="B41" s="59"/>
      <x:c r="C41" s="65"/>
    </x:row>
    <x:row r="42">
      <x:c r="A42" s="62"/>
      <x:c r="B42" s="59"/>
      <x:c r="C42" s="65"/>
    </x:row>
    <x:row r="43">
      <x:c r="A43" s="62"/>
      <x:c r="B43" s="59"/>
      <x:c r="C43" s="65"/>
    </x:row>
    <x:row r="44">
      <x:c r="A44" s="62"/>
      <x:c r="B44" s="59"/>
      <x:c r="C44" s="65"/>
    </x:row>
    <x:row r="45">
      <x:c r="A45" s="62"/>
      <x:c r="B45" s="59"/>
      <x:c r="C45" s="65"/>
    </x:row>
    <x:row r="46">
      <x:c r="A46" s="62"/>
      <x:c r="B46" s="59"/>
      <x:c r="C46" s="65"/>
    </x:row>
    <x:row r="47">
      <x:c r="A47" s="62"/>
      <x:c r="B47" s="59"/>
      <x:c r="C47" s="65"/>
    </x:row>
    <x:row r="48">
      <x:c r="A48" s="62"/>
      <x:c r="B48" s="59"/>
      <x:c r="C48" s="65"/>
    </x:row>
    <x:row r="49">
      <x:c r="A49" s="62"/>
      <x:c r="B49" s="59"/>
      <x:c r="C49" s="65"/>
    </x:row>
    <x:row r="50">
      <x:c r="A50" s="62"/>
      <x:c r="B50" s="59"/>
      <x:c r="C50" s="65"/>
    </x:row>
    <x:row r="51">
      <x:c r="A51" s="62"/>
      <x:c r="B51" s="59"/>
      <x:c r="C51" s="65"/>
    </x:row>
    <x:row r="52">
      <x:c r="A52" s="62"/>
      <x:c r="B52" s="59"/>
      <x:c r="C52" s="65"/>
    </x:row>
    <x:row r="53">
      <x:c r="A53" s="62"/>
      <x:c r="B53" s="59"/>
      <x:c r="C53" s="65"/>
    </x:row>
    <x:row r="54">
      <x:c r="A54" s="62"/>
      <x:c r="B54" s="59"/>
      <x:c r="C54" s="65"/>
    </x:row>
    <x:row r="55">
      <x:c r="A55" s="62"/>
      <x:c r="B55" s="59"/>
      <x:c r="C55" s="65"/>
    </x:row>
    <x:row r="56">
      <x:c r="A56" s="62"/>
      <x:c r="B56" s="59"/>
      <x:c r="C56" s="65"/>
    </x:row>
    <x:row r="57">
      <x:c r="A57" s="62"/>
      <x:c r="B57" s="59"/>
      <x:c r="C57" s="65"/>
    </x:row>
    <x:row r="58">
      <x:c r="A58" s="62"/>
      <x:c r="B58" s="59"/>
      <x:c r="C58" s="65"/>
    </x:row>
    <x:row r="59">
      <x:c r="A59" s="62"/>
      <x:c r="B59" s="59"/>
      <x:c r="C59" s="65"/>
    </x:row>
    <x:row r="60">
      <x:c r="A60" s="62"/>
      <x:c r="B60" s="59"/>
      <x:c r="C60" s="65"/>
    </x:row>
    <x:row r="61">
      <x:c r="A61" s="62"/>
      <x:c r="B61" s="59"/>
      <x:c r="C61" s="65"/>
    </x:row>
    <x:row r="62">
      <x:c r="A62" s="62"/>
      <x:c r="B62" s="59"/>
      <x:c r="C62" s="65"/>
    </x:row>
    <x:row r="63">
      <x:c r="A63" s="62"/>
      <x:c r="B63" s="59"/>
      <x:c r="C63" s="65"/>
    </x:row>
    <x:row r="64">
      <x:c r="A64" s="62"/>
      <x:c r="B64" s="59"/>
      <x:c r="C64" s="65"/>
    </x:row>
    <x:row r="65">
      <x:c r="A65" s="62"/>
      <x:c r="B65" s="59"/>
      <x:c r="C65" s="65"/>
    </x:row>
    <x:row r="66">
      <x:c r="A66" s="62"/>
      <x:c r="B66" s="59"/>
      <x:c r="C66" s="65"/>
    </x:row>
    <x:row r="67">
      <x:c r="A67" s="62"/>
      <x:c r="B67" s="59"/>
      <x:c r="C67" s="65"/>
    </x:row>
    <x:row r="68">
      <x:c r="A68" s="62"/>
      <x:c r="B68" s="59"/>
      <x:c r="C68" s="65"/>
    </x:row>
    <x:row r="69">
      <x:c r="A69" s="62"/>
      <x:c r="B69" s="59"/>
      <x:c r="C69" s="65"/>
    </x:row>
    <x:row r="70">
      <x:c r="A70" s="62"/>
      <x:c r="B70" s="59"/>
      <x:c r="C70" s="65"/>
    </x:row>
    <x:row r="71">
      <x:c r="A71" s="62"/>
      <x:c r="B71" s="59"/>
      <x:c r="C71" s="65"/>
    </x:row>
    <x:row r="72">
      <x:c r="A72" s="62"/>
      <x:c r="B72" s="59"/>
      <x:c r="C72" s="65"/>
    </x:row>
    <x:row r="73">
      <x:c r="A73" s="62"/>
      <x:c r="B73" s="59"/>
      <x:c r="C73" s="65"/>
    </x:row>
    <x:row r="74">
      <x:c r="A74" s="62"/>
      <x:c r="B74" s="59"/>
      <x:c r="C74" s="65"/>
    </x:row>
    <x:row r="75">
      <x:c r="A75" s="62"/>
      <x:c r="B75" s="59"/>
      <x:c r="C75" s="65"/>
    </x:row>
    <x:row r="76">
      <x:c r="A76" s="62"/>
      <x:c r="B76" s="59"/>
      <x:c r="C76" s="65"/>
    </x:row>
    <x:row r="77">
      <x:c r="A77" s="62"/>
      <x:c r="B77" s="59"/>
      <x:c r="C77" s="65"/>
    </x:row>
    <x:row r="78">
      <x:c r="A78" s="62"/>
      <x:c r="B78" s="59"/>
      <x:c r="C78" s="65"/>
    </x:row>
    <x:row r="79">
      <x:c r="A79" s="62"/>
      <x:c r="B79" s="59"/>
      <x:c r="C79" s="65"/>
    </x:row>
    <x:row r="80">
      <x:c r="A80" s="62"/>
      <x:c r="B80" s="59"/>
      <x:c r="C80" s="65"/>
    </x:row>
    <x:row r="81">
      <x:c r="A81" s="62"/>
      <x:c r="B81" s="59"/>
      <x:c r="C81" s="65"/>
    </x:row>
    <x:row r="82">
      <x:c r="A82" s="62"/>
      <x:c r="B82" s="59"/>
      <x:c r="C82" s="65"/>
    </x:row>
    <x:row r="83">
      <x:c r="A83" s="62"/>
      <x:c r="B83" s="59"/>
      <x:c r="C83" s="65"/>
    </x:row>
    <x:row r="84">
      <x:c r="A84" s="63"/>
      <x:c r="B84" s="60"/>
      <x:c r="C84" s="66"/>
    </x:row>
  </x:sheetData>
  <x:mergeCells>
    <x:mergeCell ref="A1:C1"/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2" hidden="0" customWidth="1"/>
    <x:col min="4" max="4" width="18" hidden="0" customWidth="1"/>
    <x:col min="5" max="5" width="20" hidden="0" customWidth="1"/>
    <x:col min="6" max="6" width="20" hidden="0" customWidth="1"/>
    <x:col min="7" max="7" width="16" hidden="0" customWidth="1"/>
  </x:cols>
  <x:sheetData>
    <x:row r="1" ht="34" customHeight="1">
      <x:c r="A1" s="48" t="str">
        <x:v>Préstamos nuevos recibidos</x:v>
      </x:c>
    </x:row>
    <x:row r="2" ht="36" customHeight="1">
      <x:c r="A2" s="51" t="str">
        <x:v>Referencia es un nombre corto elegido por vos, por ejemplo UENO1. Después podés usarlo en la hoja Cuotas.</x:v>
      </x:c>
    </x:row>
    <x:row r="4" ht="32" customHeight="1">
      <x:c r="A4" s="56" t="str">
        <x:v>Referencia</x:v>
      </x:c>
      <x:c r="B4" s="56" t="str">
        <x:v>Descripción</x:v>
      </x:c>
      <x:c r="C4" s="56" t="str">
        <x:v>Banco</x:v>
      </x:c>
      <x:c r="D4" s="56" t="str">
        <x:v>Fecha recepción</x:v>
      </x:c>
      <x:c r="E4" s="56" t="str">
        <x:v>Monto recibido</x:v>
      </x:c>
      <x:c r="F4" s="56" t="str">
        <x:v>Total a devolver</x:v>
      </x:c>
      <x:c r="G4" s="56" t="str">
        <x:v>Cantidad cuotas</x:v>
      </x:c>
    </x:row>
    <x:row r="5">
      <x:c r="A5" s="61"/>
      <x:c r="B5" s="58"/>
      <x:c r="C5" s="58"/>
      <x:c r="D5" s="61"/>
      <x:c r="E5" s="64"/>
      <x:c r="F5" s="64"/>
      <x:c r="G5" s="72"/>
    </x:row>
    <x:row r="6">
      <x:c r="A6" s="62"/>
      <x:c r="B6" s="59"/>
      <x:c r="C6" s="59"/>
      <x:c r="D6" s="62"/>
      <x:c r="E6" s="65"/>
      <x:c r="F6" s="65"/>
      <x:c r="G6" s="73"/>
    </x:row>
    <x:row r="7">
      <x:c r="A7" s="62"/>
      <x:c r="B7" s="59"/>
      <x:c r="C7" s="59"/>
      <x:c r="D7" s="62"/>
      <x:c r="E7" s="65"/>
      <x:c r="F7" s="65"/>
      <x:c r="G7" s="73"/>
    </x:row>
    <x:row r="8">
      <x:c r="A8" s="62"/>
      <x:c r="B8" s="59"/>
      <x:c r="C8" s="59"/>
      <x:c r="D8" s="62"/>
      <x:c r="E8" s="65"/>
      <x:c r="F8" s="65"/>
      <x:c r="G8" s="73"/>
    </x:row>
    <x:row r="9">
      <x:c r="A9" s="62"/>
      <x:c r="B9" s="59"/>
      <x:c r="C9" s="59"/>
      <x:c r="D9" s="62"/>
      <x:c r="E9" s="65"/>
      <x:c r="F9" s="65"/>
      <x:c r="G9" s="73"/>
    </x:row>
    <x:row r="10">
      <x:c r="A10" s="62"/>
      <x:c r="B10" s="59"/>
      <x:c r="C10" s="59"/>
      <x:c r="D10" s="62"/>
      <x:c r="E10" s="65"/>
      <x:c r="F10" s="65"/>
      <x:c r="G10" s="73"/>
    </x:row>
    <x:row r="11">
      <x:c r="A11" s="62"/>
      <x:c r="B11" s="59"/>
      <x:c r="C11" s="59"/>
      <x:c r="D11" s="62"/>
      <x:c r="E11" s="65"/>
      <x:c r="F11" s="65"/>
      <x:c r="G11" s="73"/>
    </x:row>
    <x:row r="12">
      <x:c r="A12" s="62"/>
      <x:c r="B12" s="59"/>
      <x:c r="C12" s="59"/>
      <x:c r="D12" s="62"/>
      <x:c r="E12" s="65"/>
      <x:c r="F12" s="65"/>
      <x:c r="G12" s="73"/>
    </x:row>
    <x:row r="13">
      <x:c r="A13" s="62"/>
      <x:c r="B13" s="59"/>
      <x:c r="C13" s="59"/>
      <x:c r="D13" s="62"/>
      <x:c r="E13" s="65"/>
      <x:c r="F13" s="65"/>
      <x:c r="G13" s="73"/>
    </x:row>
    <x:row r="14">
      <x:c r="A14" s="62"/>
      <x:c r="B14" s="59"/>
      <x:c r="C14" s="59"/>
      <x:c r="D14" s="62"/>
      <x:c r="E14" s="65"/>
      <x:c r="F14" s="65"/>
      <x:c r="G14" s="73"/>
    </x:row>
    <x:row r="15">
      <x:c r="A15" s="62"/>
      <x:c r="B15" s="59"/>
      <x:c r="C15" s="59"/>
      <x:c r="D15" s="62"/>
      <x:c r="E15" s="65"/>
      <x:c r="F15" s="65"/>
      <x:c r="G15" s="73"/>
    </x:row>
    <x:row r="16">
      <x:c r="A16" s="62"/>
      <x:c r="B16" s="59"/>
      <x:c r="C16" s="59"/>
      <x:c r="D16" s="62"/>
      <x:c r="E16" s="65"/>
      <x:c r="F16" s="65"/>
      <x:c r="G16" s="73"/>
    </x:row>
    <x:row r="17">
      <x:c r="A17" s="62"/>
      <x:c r="B17" s="59"/>
      <x:c r="C17" s="59"/>
      <x:c r="D17" s="62"/>
      <x:c r="E17" s="65"/>
      <x:c r="F17" s="65"/>
      <x:c r="G17" s="73"/>
    </x:row>
    <x:row r="18">
      <x:c r="A18" s="62"/>
      <x:c r="B18" s="59"/>
      <x:c r="C18" s="59"/>
      <x:c r="D18" s="62"/>
      <x:c r="E18" s="65"/>
      <x:c r="F18" s="65"/>
      <x:c r="G18" s="73"/>
    </x:row>
    <x:row r="19">
      <x:c r="A19" s="62"/>
      <x:c r="B19" s="59"/>
      <x:c r="C19" s="59"/>
      <x:c r="D19" s="62"/>
      <x:c r="E19" s="65"/>
      <x:c r="F19" s="65"/>
      <x:c r="G19" s="73"/>
    </x:row>
    <x:row r="20">
      <x:c r="A20" s="62"/>
      <x:c r="B20" s="59"/>
      <x:c r="C20" s="59"/>
      <x:c r="D20" s="62"/>
      <x:c r="E20" s="65"/>
      <x:c r="F20" s="65"/>
      <x:c r="G20" s="73"/>
    </x:row>
    <x:row r="21">
      <x:c r="A21" s="62"/>
      <x:c r="B21" s="59"/>
      <x:c r="C21" s="59"/>
      <x:c r="D21" s="62"/>
      <x:c r="E21" s="65"/>
      <x:c r="F21" s="65"/>
      <x:c r="G21" s="73"/>
    </x:row>
    <x:row r="22">
      <x:c r="A22" s="62"/>
      <x:c r="B22" s="59"/>
      <x:c r="C22" s="59"/>
      <x:c r="D22" s="62"/>
      <x:c r="E22" s="65"/>
      <x:c r="F22" s="65"/>
      <x:c r="G22" s="73"/>
    </x:row>
    <x:row r="23">
      <x:c r="A23" s="62"/>
      <x:c r="B23" s="59"/>
      <x:c r="C23" s="59"/>
      <x:c r="D23" s="62"/>
      <x:c r="E23" s="65"/>
      <x:c r="F23" s="65"/>
      <x:c r="G23" s="73"/>
    </x:row>
    <x:row r="24">
      <x:c r="A24" s="62"/>
      <x:c r="B24" s="59"/>
      <x:c r="C24" s="59"/>
      <x:c r="D24" s="62"/>
      <x:c r="E24" s="65"/>
      <x:c r="F24" s="65"/>
      <x:c r="G24" s="73"/>
    </x:row>
    <x:row r="25">
      <x:c r="A25" s="62"/>
      <x:c r="B25" s="59"/>
      <x:c r="C25" s="59"/>
      <x:c r="D25" s="62"/>
      <x:c r="E25" s="65"/>
      <x:c r="F25" s="65"/>
      <x:c r="G25" s="73"/>
    </x:row>
    <x:row r="26">
      <x:c r="A26" s="62"/>
      <x:c r="B26" s="59"/>
      <x:c r="C26" s="59"/>
      <x:c r="D26" s="62"/>
      <x:c r="E26" s="65"/>
      <x:c r="F26" s="65"/>
      <x:c r="G26" s="73"/>
    </x:row>
    <x:row r="27">
      <x:c r="A27" s="62"/>
      <x:c r="B27" s="59"/>
      <x:c r="C27" s="59"/>
      <x:c r="D27" s="62"/>
      <x:c r="E27" s="65"/>
      <x:c r="F27" s="65"/>
      <x:c r="G27" s="73"/>
    </x:row>
    <x:row r="28">
      <x:c r="A28" s="62"/>
      <x:c r="B28" s="59"/>
      <x:c r="C28" s="59"/>
      <x:c r="D28" s="62"/>
      <x:c r="E28" s="65"/>
      <x:c r="F28" s="65"/>
      <x:c r="G28" s="73"/>
    </x:row>
    <x:row r="29">
      <x:c r="A29" s="62"/>
      <x:c r="B29" s="59"/>
      <x:c r="C29" s="59"/>
      <x:c r="D29" s="62"/>
      <x:c r="E29" s="65"/>
      <x:c r="F29" s="65"/>
      <x:c r="G29" s="73"/>
    </x:row>
    <x:row r="30">
      <x:c r="A30" s="62"/>
      <x:c r="B30" s="59"/>
      <x:c r="C30" s="59"/>
      <x:c r="D30" s="62"/>
      <x:c r="E30" s="65"/>
      <x:c r="F30" s="65"/>
      <x:c r="G30" s="73"/>
    </x:row>
    <x:row r="31">
      <x:c r="A31" s="62"/>
      <x:c r="B31" s="59"/>
      <x:c r="C31" s="59"/>
      <x:c r="D31" s="62"/>
      <x:c r="E31" s="65"/>
      <x:c r="F31" s="65"/>
      <x:c r="G31" s="73"/>
    </x:row>
    <x:row r="32">
      <x:c r="A32" s="62"/>
      <x:c r="B32" s="59"/>
      <x:c r="C32" s="59"/>
      <x:c r="D32" s="62"/>
      <x:c r="E32" s="65"/>
      <x:c r="F32" s="65"/>
      <x:c r="G32" s="73"/>
    </x:row>
    <x:row r="33">
      <x:c r="A33" s="62"/>
      <x:c r="B33" s="59"/>
      <x:c r="C33" s="59"/>
      <x:c r="D33" s="62"/>
      <x:c r="E33" s="65"/>
      <x:c r="F33" s="65"/>
      <x:c r="G33" s="73"/>
    </x:row>
    <x:row r="34">
      <x:c r="A34" s="63"/>
      <x:c r="B34" s="60"/>
      <x:c r="C34" s="60"/>
      <x:c r="D34" s="63"/>
      <x:c r="E34" s="66"/>
      <x:c r="F34" s="66"/>
      <x:c r="G34" s="74"/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0" hidden="0" customWidth="1"/>
  </x:cols>
  <x:sheetData>
    <x:row r="1" ht="34" customHeight="1">
      <x:c r="A1" s="48" t="str">
        <x:v>Pagos de cuotas</x:v>
      </x:c>
    </x:row>
    <x:row r="2" ht="36" customHeight="1">
      <x:c r="A2" s="51" t="str">
        <x:v>Usá el ID visible en BC Gestión o la Referencia definida en la hoja Prestamos para un préstamo nuevo.</x:v>
      </x:c>
    </x:row>
    <x:row r="4" ht="32" customHeight="1">
      <x:c r="A4" s="56" t="str">
        <x:v>ID o referencia</x:v>
      </x:c>
      <x:c r="B4" s="56" t="str">
        <x:v>Número cuota</x:v>
      </x:c>
      <x:c r="C4" s="56" t="str">
        <x:v>Fecha pago</x:v>
      </x:c>
      <x:c r="D4" s="56" t="str">
        <x:v>Monto</x:v>
      </x:c>
    </x:row>
    <x:row r="5">
      <x:c r="A5" s="75" t="str">
        <x:v>2</x:v>
      </x:c>
      <x:c r="B5" s="72" t="n">
        <x:v>8</x:v>
      </x:c>
      <x:c r="C5" s="61" t="n">
        <x:v>46143</x:v>
      </x:c>
      <x:c r="D5" s="64" t="n">
        <x:v>737331</x:v>
      </x:c>
    </x:row>
    <x:row r="6">
      <x:c r="A6" s="76" t="str">
        <x:v>3</x:v>
      </x:c>
      <x:c r="B6" s="73" t="n">
        <x:v>10</x:v>
      </x:c>
      <x:c r="C6" s="62" t="n">
        <x:v>46143</x:v>
      </x:c>
      <x:c r="D6" s="65" t="n">
        <x:v>539606</x:v>
      </x:c>
    </x:row>
    <x:row r="7">
      <x:c r="A7" s="62"/>
      <x:c r="B7" s="73"/>
      <x:c r="C7" s="62"/>
      <x:c r="D7" s="65"/>
    </x:row>
    <x:row r="8">
      <x:c r="A8" s="62"/>
      <x:c r="B8" s="73"/>
      <x:c r="C8" s="62"/>
      <x:c r="D8" s="65"/>
    </x:row>
    <x:row r="9">
      <x:c r="A9" s="62"/>
      <x:c r="B9" s="73"/>
      <x:c r="C9" s="62"/>
      <x:c r="D9" s="65"/>
    </x:row>
    <x:row r="10">
      <x:c r="A10" s="62"/>
      <x:c r="B10" s="73"/>
      <x:c r="C10" s="62"/>
      <x:c r="D10" s="65"/>
    </x:row>
    <x:row r="11">
      <x:c r="A11" s="62"/>
      <x:c r="B11" s="73"/>
      <x:c r="C11" s="62"/>
      <x:c r="D11" s="65"/>
    </x:row>
    <x:row r="12">
      <x:c r="A12" s="62"/>
      <x:c r="B12" s="73"/>
      <x:c r="C12" s="62"/>
      <x:c r="D12" s="65"/>
    </x:row>
    <x:row r="13">
      <x:c r="A13" s="62"/>
      <x:c r="B13" s="73"/>
      <x:c r="C13" s="62"/>
      <x:c r="D13" s="65"/>
    </x:row>
    <x:row r="14">
      <x:c r="A14" s="62"/>
      <x:c r="B14" s="73"/>
      <x:c r="C14" s="62"/>
      <x:c r="D14" s="65"/>
    </x:row>
    <x:row r="15">
      <x:c r="A15" s="62"/>
      <x:c r="B15" s="73"/>
      <x:c r="C15" s="62"/>
      <x:c r="D15" s="65"/>
    </x:row>
    <x:row r="16">
      <x:c r="A16" s="62"/>
      <x:c r="B16" s="73"/>
      <x:c r="C16" s="62"/>
      <x:c r="D16" s="65"/>
    </x:row>
    <x:row r="17">
      <x:c r="A17" s="62"/>
      <x:c r="B17" s="73"/>
      <x:c r="C17" s="62"/>
      <x:c r="D17" s="65"/>
    </x:row>
    <x:row r="18">
      <x:c r="A18" s="62"/>
      <x:c r="B18" s="73"/>
      <x:c r="C18" s="62"/>
      <x:c r="D18" s="65"/>
    </x:row>
    <x:row r="19">
      <x:c r="A19" s="62"/>
      <x:c r="B19" s="73"/>
      <x:c r="C19" s="62"/>
      <x:c r="D19" s="65"/>
    </x:row>
    <x:row r="20">
      <x:c r="A20" s="62"/>
      <x:c r="B20" s="73"/>
      <x:c r="C20" s="62"/>
      <x:c r="D20" s="65"/>
    </x:row>
    <x:row r="21">
      <x:c r="A21" s="62"/>
      <x:c r="B21" s="73"/>
      <x:c r="C21" s="62"/>
      <x:c r="D21" s="65"/>
    </x:row>
    <x:row r="22">
      <x:c r="A22" s="62"/>
      <x:c r="B22" s="73"/>
      <x:c r="C22" s="62"/>
      <x:c r="D22" s="65"/>
    </x:row>
    <x:row r="23">
      <x:c r="A23" s="62"/>
      <x:c r="B23" s="73"/>
      <x:c r="C23" s="62"/>
      <x:c r="D23" s="65"/>
    </x:row>
    <x:row r="24">
      <x:c r="A24" s="62"/>
      <x:c r="B24" s="73"/>
      <x:c r="C24" s="62"/>
      <x:c r="D24" s="65"/>
    </x:row>
    <x:row r="25">
      <x:c r="A25" s="62"/>
      <x:c r="B25" s="73"/>
      <x:c r="C25" s="62"/>
      <x:c r="D25" s="65"/>
    </x:row>
    <x:row r="26">
      <x:c r="A26" s="62"/>
      <x:c r="B26" s="73"/>
      <x:c r="C26" s="62"/>
      <x:c r="D26" s="65"/>
    </x:row>
    <x:row r="27">
      <x:c r="A27" s="62"/>
      <x:c r="B27" s="73"/>
      <x:c r="C27" s="62"/>
      <x:c r="D27" s="65"/>
    </x:row>
    <x:row r="28">
      <x:c r="A28" s="62"/>
      <x:c r="B28" s="73"/>
      <x:c r="C28" s="62"/>
      <x:c r="D28" s="65"/>
    </x:row>
    <x:row r="29">
      <x:c r="A29" s="62"/>
      <x:c r="B29" s="73"/>
      <x:c r="C29" s="62"/>
      <x:c r="D29" s="65"/>
    </x:row>
    <x:row r="30">
      <x:c r="A30" s="62"/>
      <x:c r="B30" s="73"/>
      <x:c r="C30" s="62"/>
      <x:c r="D30" s="65"/>
    </x:row>
    <x:row r="31">
      <x:c r="A31" s="62"/>
      <x:c r="B31" s="73"/>
      <x:c r="C31" s="62"/>
      <x:c r="D31" s="65"/>
    </x:row>
    <x:row r="32">
      <x:c r="A32" s="62"/>
      <x:c r="B32" s="73"/>
      <x:c r="C32" s="62"/>
      <x:c r="D32" s="65"/>
    </x:row>
    <x:row r="33">
      <x:c r="A33" s="62"/>
      <x:c r="B33" s="73"/>
      <x:c r="C33" s="62"/>
      <x:c r="D33" s="65"/>
    </x:row>
    <x:row r="34">
      <x:c r="A34" s="62"/>
      <x:c r="B34" s="73"/>
      <x:c r="C34" s="62"/>
      <x:c r="D34" s="65"/>
    </x:row>
    <x:row r="35">
      <x:c r="A35" s="62"/>
      <x:c r="B35" s="73"/>
      <x:c r="C35" s="62"/>
      <x:c r="D35" s="65"/>
    </x:row>
    <x:row r="36">
      <x:c r="A36" s="62"/>
      <x:c r="B36" s="73"/>
      <x:c r="C36" s="62"/>
      <x:c r="D36" s="65"/>
    </x:row>
    <x:row r="37">
      <x:c r="A37" s="62"/>
      <x:c r="B37" s="73"/>
      <x:c r="C37" s="62"/>
      <x:c r="D37" s="65"/>
    </x:row>
    <x:row r="38">
      <x:c r="A38" s="62"/>
      <x:c r="B38" s="73"/>
      <x:c r="C38" s="62"/>
      <x:c r="D38" s="65"/>
    </x:row>
    <x:row r="39">
      <x:c r="A39" s="62"/>
      <x:c r="B39" s="73"/>
      <x:c r="C39" s="62"/>
      <x:c r="D39" s="65"/>
    </x:row>
    <x:row r="40">
      <x:c r="A40" s="62"/>
      <x:c r="B40" s="73"/>
      <x:c r="C40" s="62"/>
      <x:c r="D40" s="65"/>
    </x:row>
    <x:row r="41">
      <x:c r="A41" s="62"/>
      <x:c r="B41" s="73"/>
      <x:c r="C41" s="62"/>
      <x:c r="D41" s="65"/>
    </x:row>
    <x:row r="42">
      <x:c r="A42" s="62"/>
      <x:c r="B42" s="73"/>
      <x:c r="C42" s="62"/>
      <x:c r="D42" s="65"/>
    </x:row>
    <x:row r="43">
      <x:c r="A43" s="62"/>
      <x:c r="B43" s="73"/>
      <x:c r="C43" s="62"/>
      <x:c r="D43" s="65"/>
    </x:row>
    <x:row r="44">
      <x:c r="A44" s="62"/>
      <x:c r="B44" s="73"/>
      <x:c r="C44" s="62"/>
      <x:c r="D44" s="65"/>
    </x:row>
    <x:row r="45">
      <x:c r="A45" s="62"/>
      <x:c r="B45" s="73"/>
      <x:c r="C45" s="62"/>
      <x:c r="D45" s="65"/>
    </x:row>
    <x:row r="46">
      <x:c r="A46" s="62"/>
      <x:c r="B46" s="73"/>
      <x:c r="C46" s="62"/>
      <x:c r="D46" s="65"/>
    </x:row>
    <x:row r="47">
      <x:c r="A47" s="62"/>
      <x:c r="B47" s="73"/>
      <x:c r="C47" s="62"/>
      <x:c r="D47" s="65"/>
    </x:row>
    <x:row r="48">
      <x:c r="A48" s="62"/>
      <x:c r="B48" s="73"/>
      <x:c r="C48" s="62"/>
      <x:c r="D48" s="65"/>
    </x:row>
    <x:row r="49">
      <x:c r="A49" s="62"/>
      <x:c r="B49" s="73"/>
      <x:c r="C49" s="62"/>
      <x:c r="D49" s="65"/>
    </x:row>
    <x:row r="50">
      <x:c r="A50" s="62"/>
      <x:c r="B50" s="73"/>
      <x:c r="C50" s="62"/>
      <x:c r="D50" s="65"/>
    </x:row>
    <x:row r="51">
      <x:c r="A51" s="62"/>
      <x:c r="B51" s="73"/>
      <x:c r="C51" s="62"/>
      <x:c r="D51" s="65"/>
    </x:row>
    <x:row r="52">
      <x:c r="A52" s="62"/>
      <x:c r="B52" s="73"/>
      <x:c r="C52" s="62"/>
      <x:c r="D52" s="65"/>
    </x:row>
    <x:row r="53">
      <x:c r="A53" s="62"/>
      <x:c r="B53" s="73"/>
      <x:c r="C53" s="62"/>
      <x:c r="D53" s="65"/>
    </x:row>
    <x:row r="54">
      <x:c r="A54" s="62"/>
      <x:c r="B54" s="73"/>
      <x:c r="C54" s="62"/>
      <x:c r="D54" s="65"/>
    </x:row>
    <x:row r="55">
      <x:c r="A55" s="62"/>
      <x:c r="B55" s="73"/>
      <x:c r="C55" s="62"/>
      <x:c r="D55" s="65"/>
    </x:row>
    <x:row r="56">
      <x:c r="A56" s="62"/>
      <x:c r="B56" s="73"/>
      <x:c r="C56" s="62"/>
      <x:c r="D56" s="65"/>
    </x:row>
    <x:row r="57">
      <x:c r="A57" s="62"/>
      <x:c r="B57" s="73"/>
      <x:c r="C57" s="62"/>
      <x:c r="D57" s="65"/>
    </x:row>
    <x:row r="58">
      <x:c r="A58" s="62"/>
      <x:c r="B58" s="73"/>
      <x:c r="C58" s="62"/>
      <x:c r="D58" s="65"/>
    </x:row>
    <x:row r="59">
      <x:c r="A59" s="62"/>
      <x:c r="B59" s="73"/>
      <x:c r="C59" s="62"/>
      <x:c r="D59" s="65"/>
    </x:row>
    <x:row r="60">
      <x:c r="A60" s="62"/>
      <x:c r="B60" s="73"/>
      <x:c r="C60" s="62"/>
      <x:c r="D60" s="65"/>
    </x:row>
    <x:row r="61">
      <x:c r="A61" s="62"/>
      <x:c r="B61" s="73"/>
      <x:c r="C61" s="62"/>
      <x:c r="D61" s="65"/>
    </x:row>
    <x:row r="62">
      <x:c r="A62" s="62"/>
      <x:c r="B62" s="73"/>
      <x:c r="C62" s="62"/>
      <x:c r="D62" s="65"/>
    </x:row>
    <x:row r="63">
      <x:c r="A63" s="62"/>
      <x:c r="B63" s="73"/>
      <x:c r="C63" s="62"/>
      <x:c r="D63" s="65"/>
    </x:row>
    <x:row r="64">
      <x:c r="A64" s="63"/>
      <x:c r="B64" s="74"/>
      <x:c r="C64" s="63"/>
      <x:c r="D64" s="66"/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48" hidden="0" customWidth="1"/>
  </x:cols>
  <x:sheetData>
    <x:row r="1" ht="34" customHeight="1">
      <x:c r="A1" s="48" t="str">
        <x:v>Retiros de socios</x:v>
      </x:c>
    </x:row>
    <x:row r="2" ht="36" customHeight="1">
      <x:c r="A2" s="51" t="str">
        <x:v>Registrá cada retiro personal del mes. Socio admite únicamente Sol o Rodrigo.</x:v>
      </x:c>
    </x:row>
    <x:row r="4" ht="32" customHeight="1">
      <x:c r="A4" s="56" t="str">
        <x:v>Fecha</x:v>
      </x:c>
      <x:c r="B4" s="56" t="str">
        <x:v>Socio</x:v>
      </x:c>
      <x:c r="C4" s="56" t="str">
        <x:v>Monto</x:v>
      </x:c>
      <x:c r="D4" s="56" t="str">
        <x:v>Observación</x:v>
      </x:c>
    </x:row>
    <x:row r="5">
      <x:c r="A5" s="61" t="n">
        <x:v>46143</x:v>
      </x:c>
      <x:c r="B5" s="58" t="str">
        <x:v>Sol</x:v>
      </x:c>
      <x:c r="C5" s="64" t="n">
        <x:v>2100000</x:v>
      </x:c>
      <x:c r="D5" s="107" t="str">
        <x:v>Alquiler dúplex 4mm, Gladys Coronel </x:v>
      </x:c>
    </x:row>
    <x:row r="6">
      <x:c r="A6" s="62" t="n">
        <x:v>46143</x:v>
      </x:c>
      <x:c r="B6" s="59" t="str">
        <x:v>Sol</x:v>
      </x:c>
      <x:c r="C6" s="65" t="n">
        <x:v>1624000</x:v>
      </x:c>
      <x:c r="D6" s="108" t="str">
        <x:v>Markus</x:v>
      </x:c>
    </x:row>
    <x:row r="7">
      <x:c r="A7" s="62" t="n">
        <x:v>46143</x:v>
      </x:c>
      <x:c r="B7" s="59" t="str">
        <x:v>Sol</x:v>
      </x:c>
      <x:c r="C7" s="65" t="n">
        <x:v>3000000</x:v>
      </x:c>
      <x:c r="D7" s="108" t="str">
        <x:v>Sol efectivo</x:v>
      </x:c>
    </x:row>
    <x:row r="8">
      <x:c r="A8" s="62" t="n">
        <x:v>46143</x:v>
      </x:c>
      <x:c r="B8" s="59" t="str">
        <x:v>Sol</x:v>
      </x:c>
      <x:c r="C8" s="65" t="n">
        <x:v>440000</x:v>
      </x:c>
      <x:c r="D8" s="108" t="str">
        <x:v>Arreglo porton duplex</x:v>
      </x:c>
    </x:row>
    <x:row r="9">
      <x:c r="A9" s="62" t="n">
        <x:v>46143</x:v>
      </x:c>
      <x:c r="B9" s="59" t="str">
        <x:v>Sol</x:v>
      </x:c>
      <x:c r="C9" s="65" t="n">
        <x:v>350000</x:v>
      </x:c>
      <x:c r="D9" s="108" t="str">
        <x:v>joseph corte y lavado</x:v>
      </x:c>
    </x:row>
    <x:row r="10">
      <x:c r="A10" s="62" t="n">
        <x:v>46143</x:v>
      </x:c>
      <x:c r="B10" s="59" t="str">
        <x:v>Sol</x:v>
      </x:c>
      <x:c r="C10" s="65" t="n">
        <x:v>330700</x:v>
      </x:c>
      <x:c r="D10" s="108" t="str">
        <x:v>Perfumes regalo dia de las madres x2</x:v>
      </x:c>
    </x:row>
    <x:row r="11">
      <x:c r="A11" s="62" t="n">
        <x:v>46143</x:v>
      </x:c>
      <x:c r="B11" s="59" t="str">
        <x:v>Sol</x:v>
      </x:c>
      <x:c r="C11" s="65" t="n">
        <x:v>325589</x:v>
      </x:c>
      <x:c r="D11" s="108" t="str">
        <x:v>Servicios duplex (Ande, Essap, Personal)</x:v>
      </x:c>
    </x:row>
    <x:row r="12">
      <x:c r="A12" s="62" t="n">
        <x:v>46143</x:v>
      </x:c>
      <x:c r="B12" s="59" t="str">
        <x:v>Sol</x:v>
      </x:c>
      <x:c r="C12" s="65" t="n">
        <x:v>300000</x:v>
      </x:c>
      <x:c r="D12" s="108" t="str">
        <x:v>Tobi ropa</x:v>
      </x:c>
    </x:row>
    <x:row r="13">
      <x:c r="A13" s="62" t="n">
        <x:v>46143</x:v>
      </x:c>
      <x:c r="B13" s="59" t="str">
        <x:v>Sol</x:v>
      </x:c>
      <x:c r="C13" s="65" t="n">
        <x:v>290000</x:v>
      </x:c>
      <x:c r="D13" s="108" t="str">
        <x:v>Tobi, baño y remedio</x:v>
      </x:c>
    </x:row>
    <x:row r="14">
      <x:c r="A14" s="62" t="n">
        <x:v>46143</x:v>
      </x:c>
      <x:c r="B14" s="59" t="str">
        <x:v>Sol</x:v>
      </x:c>
      <x:c r="C14" s="65" t="n">
        <x:v>250000</x:v>
      </x:c>
      <x:c r="D14" s="108" t="str">
        <x:v>Limpiador electrico</x:v>
      </x:c>
    </x:row>
    <x:row r="15">
      <x:c r="A15" s="62" t="n">
        <x:v>46143</x:v>
      </x:c>
      <x:c r="B15" s="59" t="str">
        <x:v>Sol</x:v>
      </x:c>
      <x:c r="C15" s="65" t="n">
        <x:v>73000</x:v>
      </x:c>
      <x:c r="D15" s="108" t="str">
        <x:v>Maderito</x:v>
      </x:c>
    </x:row>
    <x:row r="16">
      <x:c r="A16" s="62" t="n">
        <x:v>46143</x:v>
      </x:c>
      <x:c r="B16" s="59" t="str">
        <x:v>Sol</x:v>
      </x:c>
      <x:c r="C16" s="65" t="n">
        <x:v>70000</x:v>
      </x:c>
      <x:c r="D16" s="108" t="str">
        <x:v>Personal plan</x:v>
      </x:c>
    </x:row>
    <x:row r="17">
      <x:c r="A17" s="62" t="n">
        <x:v>46143</x:v>
      </x:c>
      <x:c r="B17" s="59" t="str">
        <x:v>Sol</x:v>
      </x:c>
      <x:c r="C17" s="65" t="n">
        <x:v>16000</x:v>
      </x:c>
      <x:c r="D17" s="108" t="str">
        <x:v>Chipa asador</x:v>
      </x:c>
    </x:row>
    <x:row r="18">
      <x:c r="A18" s="62" t="n">
        <x:v>46143</x:v>
      </x:c>
      <x:c r="B18" s="59" t="str">
        <x:v>Rodrigo</x:v>
      </x:c>
      <x:c r="C18" s="65" t="n">
        <x:v>2100000</x:v>
      </x:c>
      <x:c r="D18" s="108" t="str">
        <x:v>Alquiler dúplex 4mm, Gladys Coronel </x:v>
      </x:c>
    </x:row>
    <x:row r="19">
      <x:c r="A19" s="62" t="n">
        <x:v>46143</x:v>
      </x:c>
      <x:c r="B19" s="59" t="str">
        <x:v>Rodrigo</x:v>
      </x:c>
      <x:c r="C19" s="65" t="n">
        <x:v>2000000</x:v>
      </x:c>
      <x:c r="D19" s="108" t="str">
        <x:v>Para pagar insumos de Raúl (cateterismo cardiaco)</x:v>
      </x:c>
    </x:row>
    <x:row r="20">
      <x:c r="A20" s="62" t="n">
        <x:v>46143</x:v>
      </x:c>
      <x:c r="B20" s="59" t="str">
        <x:v>Rodrigo</x:v>
      </x:c>
      <x:c r="C20" s="65" t="n">
        <x:v>1800000</x:v>
      </x:c>
      <x:c r="D20" s="108" t="str">
        <x:v>Transferencia CF Moto SR450</x:v>
      </x:c>
    </x:row>
    <x:row r="21">
      <x:c r="A21" s="62" t="n">
        <x:v>46143</x:v>
      </x:c>
      <x:c r="B21" s="59" t="str">
        <x:v>Rodrigo</x:v>
      </x:c>
      <x:c r="C21" s="65" t="n">
        <x:v>1500000</x:v>
      </x:c>
      <x:c r="D21" s="108" t="str">
        <x:v>Préstamo</x:v>
      </x:c>
    </x:row>
    <x:row r="22">
      <x:c r="A22" s="62" t="n">
        <x:v>46143</x:v>
      </x:c>
      <x:c r="B22" s="59" t="str">
        <x:v>Rodrigo</x:v>
      </x:c>
      <x:c r="C22" s="65" t="n">
        <x:v>600000</x:v>
      </x:c>
      <x:c r="D22" s="108" t="str">
        <x:v>Concierto de Korn</x:v>
      </x:c>
    </x:row>
    <x:row r="23">
      <x:c r="A23" s="62" t="n">
        <x:v>46143</x:v>
      </x:c>
      <x:c r="B23" s="59" t="str">
        <x:v>Rodrigo</x:v>
      </x:c>
      <x:c r="C23" s="65" t="n">
        <x:v>550000</x:v>
      </x:c>
      <x:c r="D23" s="108" t="str">
        <x:v>Lente para señora Anto Acosta (David)</x:v>
      </x:c>
    </x:row>
    <x:row r="24">
      <x:c r="A24" s="62" t="n">
        <x:v>46143</x:v>
      </x:c>
      <x:c r="B24" s="59" t="str">
        <x:v>Rodrigo</x:v>
      </x:c>
      <x:c r="C24" s="65" t="n">
        <x:v>440000</x:v>
      </x:c>
      <x:c r="D24" s="108" t="str">
        <x:v>Arreglo portón duplex</x:v>
      </x:c>
    </x:row>
    <x:row r="25">
      <x:c r="A25" s="62" t="n">
        <x:v>46143</x:v>
      </x:c>
      <x:c r="B25" s="59" t="str">
        <x:v>Rodrigo</x:v>
      </x:c>
      <x:c r="C25" s="65" t="n">
        <x:v>325589</x:v>
      </x:c>
      <x:c r="D25" s="108" t="str">
        <x:v>Servicios duplex (Ande, Essap, Personal)</x:v>
      </x:c>
    </x:row>
    <x:row r="26">
      <x:c r="A26" s="62" t="n">
        <x:v>46143</x:v>
      </x:c>
      <x:c r="B26" s="59" t="str">
        <x:v>Rodrigo</x:v>
      </x:c>
      <x:c r="C26" s="65" t="n">
        <x:v>700000</x:v>
      </x:c>
      <x:c r="D26" s="108" t="str">
        <x:v>Lente para señora Maria Higinia Acosta (David)</x:v>
      </x:c>
    </x:row>
    <x:row r="27">
      <x:c r="A27" s="62"/>
      <x:c r="B27" s="59"/>
      <x:c r="C27" s="65"/>
      <x:c r="D27" s="70"/>
    </x:row>
    <x:row r="28">
      <x:c r="A28" s="62"/>
      <x:c r="B28" s="59"/>
      <x:c r="C28" s="65"/>
      <x:c r="D28" s="70"/>
    </x:row>
    <x:row r="29">
      <x:c r="A29" s="62"/>
      <x:c r="B29" s="59"/>
      <x:c r="C29" s="65"/>
      <x:c r="D29" s="70"/>
    </x:row>
    <x:row r="30">
      <x:c r="A30" s="62"/>
      <x:c r="B30" s="59"/>
      <x:c r="C30" s="65"/>
      <x:c r="D30" s="70"/>
    </x:row>
    <x:row r="31">
      <x:c r="A31" s="62"/>
      <x:c r="B31" s="59"/>
      <x:c r="C31" s="65"/>
      <x:c r="D31" s="70"/>
    </x:row>
    <x:row r="32">
      <x:c r="A32" s="62"/>
      <x:c r="B32" s="59"/>
      <x:c r="C32" s="65"/>
      <x:c r="D32" s="70"/>
    </x:row>
    <x:row r="33">
      <x:c r="A33" s="62"/>
      <x:c r="B33" s="59"/>
      <x:c r="C33" s="65"/>
      <x:c r="D33" s="70"/>
    </x:row>
    <x:row r="34">
      <x:c r="A34" s="62"/>
      <x:c r="B34" s="59"/>
      <x:c r="C34" s="65"/>
      <x:c r="D34" s="70"/>
    </x:row>
    <x:row r="35">
      <x:c r="A35" s="62"/>
      <x:c r="B35" s="59"/>
      <x:c r="C35" s="65"/>
      <x:c r="D35" s="70"/>
    </x:row>
    <x:row r="36">
      <x:c r="A36" s="62"/>
      <x:c r="B36" s="59"/>
      <x:c r="C36" s="65"/>
      <x:c r="D36" s="70"/>
    </x:row>
    <x:row r="37">
      <x:c r="A37" s="62"/>
      <x:c r="B37" s="59"/>
      <x:c r="C37" s="65"/>
      <x:c r="D37" s="70"/>
    </x:row>
    <x:row r="38">
      <x:c r="A38" s="62"/>
      <x:c r="B38" s="59"/>
      <x:c r="C38" s="65"/>
      <x:c r="D38" s="70"/>
    </x:row>
    <x:row r="39">
      <x:c r="A39" s="62"/>
      <x:c r="B39" s="59"/>
      <x:c r="C39" s="65"/>
      <x:c r="D39" s="70"/>
    </x:row>
    <x:row r="40">
      <x:c r="A40" s="62"/>
      <x:c r="B40" s="59"/>
      <x:c r="C40" s="65"/>
      <x:c r="D40" s="70"/>
    </x:row>
    <x:row r="41">
      <x:c r="A41" s="62"/>
      <x:c r="B41" s="59"/>
      <x:c r="C41" s="65"/>
      <x:c r="D41" s="70"/>
    </x:row>
    <x:row r="42">
      <x:c r="A42" s="62"/>
      <x:c r="B42" s="59"/>
      <x:c r="C42" s="65"/>
      <x:c r="D42" s="70"/>
    </x:row>
    <x:row r="43">
      <x:c r="A43" s="62"/>
      <x:c r="B43" s="59"/>
      <x:c r="C43" s="65"/>
      <x:c r="D43" s="70"/>
    </x:row>
    <x:row r="44">
      <x:c r="A44" s="62"/>
      <x:c r="B44" s="59"/>
      <x:c r="C44" s="65"/>
      <x:c r="D44" s="70"/>
    </x:row>
    <x:row r="45">
      <x:c r="A45" s="62"/>
      <x:c r="B45" s="59"/>
      <x:c r="C45" s="65"/>
      <x:c r="D45" s="70"/>
    </x:row>
    <x:row r="46">
      <x:c r="A46" s="62"/>
      <x:c r="B46" s="59"/>
      <x:c r="C46" s="65"/>
      <x:c r="D46" s="70"/>
    </x:row>
    <x:row r="47">
      <x:c r="A47" s="62"/>
      <x:c r="B47" s="59"/>
      <x:c r="C47" s="65"/>
      <x:c r="D47" s="70"/>
    </x:row>
    <x:row r="48">
      <x:c r="A48" s="62"/>
      <x:c r="B48" s="59"/>
      <x:c r="C48" s="65"/>
      <x:c r="D48" s="70"/>
    </x:row>
    <x:row r="49">
      <x:c r="A49" s="62"/>
      <x:c r="B49" s="59"/>
      <x:c r="C49" s="65"/>
      <x:c r="D49" s="70"/>
    </x:row>
    <x:row r="50">
      <x:c r="A50" s="62"/>
      <x:c r="B50" s="59"/>
      <x:c r="C50" s="65"/>
      <x:c r="D50" s="70"/>
    </x:row>
    <x:row r="51">
      <x:c r="A51" s="62"/>
      <x:c r="B51" s="59"/>
      <x:c r="C51" s="65"/>
      <x:c r="D51" s="70"/>
    </x:row>
    <x:row r="52">
      <x:c r="A52" s="62"/>
      <x:c r="B52" s="59"/>
      <x:c r="C52" s="65"/>
      <x:c r="D52" s="70"/>
    </x:row>
    <x:row r="53">
      <x:c r="A53" s="62"/>
      <x:c r="B53" s="59"/>
      <x:c r="C53" s="65"/>
      <x:c r="D53" s="70"/>
    </x:row>
    <x:row r="54">
      <x:c r="A54" s="62"/>
      <x:c r="B54" s="59"/>
      <x:c r="C54" s="65"/>
      <x:c r="D54" s="70"/>
    </x:row>
    <x:row r="55">
      <x:c r="A55" s="62"/>
      <x:c r="B55" s="59"/>
      <x:c r="C55" s="65"/>
      <x:c r="D55" s="70"/>
    </x:row>
    <x:row r="56">
      <x:c r="A56" s="62"/>
      <x:c r="B56" s="59"/>
      <x:c r="C56" s="65"/>
      <x:c r="D56" s="70"/>
    </x:row>
    <x:row r="57">
      <x:c r="A57" s="62"/>
      <x:c r="B57" s="59"/>
      <x:c r="C57" s="65"/>
      <x:c r="D57" s="70"/>
    </x:row>
    <x:row r="58">
      <x:c r="A58" s="62"/>
      <x:c r="B58" s="59"/>
      <x:c r="C58" s="65"/>
      <x:c r="D58" s="70"/>
    </x:row>
    <x:row r="59">
      <x:c r="A59" s="62"/>
      <x:c r="B59" s="59"/>
      <x:c r="C59" s="65"/>
      <x:c r="D59" s="70"/>
    </x:row>
    <x:row r="60">
      <x:c r="A60" s="62"/>
      <x:c r="B60" s="59"/>
      <x:c r="C60" s="65"/>
      <x:c r="D60" s="70"/>
    </x:row>
    <x:row r="61">
      <x:c r="A61" s="62"/>
      <x:c r="B61" s="59"/>
      <x:c r="C61" s="65"/>
      <x:c r="D61" s="70"/>
    </x:row>
    <x:row r="62">
      <x:c r="A62" s="62"/>
      <x:c r="B62" s="59"/>
      <x:c r="C62" s="65"/>
      <x:c r="D62" s="70"/>
    </x:row>
    <x:row r="63">
      <x:c r="A63" s="62"/>
      <x:c r="B63" s="59"/>
      <x:c r="C63" s="65"/>
      <x:c r="D63" s="70"/>
    </x:row>
    <x:row r="64">
      <x:c r="A64" s="62"/>
      <x:c r="B64" s="59"/>
      <x:c r="C64" s="65"/>
      <x:c r="D64" s="70"/>
    </x:row>
    <x:row r="65">
      <x:c r="A65" s="62"/>
      <x:c r="B65" s="59"/>
      <x:c r="C65" s="65"/>
      <x:c r="D65" s="70"/>
    </x:row>
    <x:row r="66">
      <x:c r="A66" s="62"/>
      <x:c r="B66" s="59"/>
      <x:c r="C66" s="65"/>
      <x:c r="D66" s="70"/>
    </x:row>
    <x:row r="67">
      <x:c r="A67" s="62"/>
      <x:c r="B67" s="59"/>
      <x:c r="C67" s="65"/>
      <x:c r="D67" s="70"/>
    </x:row>
    <x:row r="68">
      <x:c r="A68" s="62"/>
      <x:c r="B68" s="59"/>
      <x:c r="C68" s="65"/>
      <x:c r="D68" s="70"/>
    </x:row>
    <x:row r="69">
      <x:c r="A69" s="62"/>
      <x:c r="B69" s="59"/>
      <x:c r="C69" s="65"/>
      <x:c r="D69" s="70"/>
    </x:row>
    <x:row r="70">
      <x:c r="A70" s="62"/>
      <x:c r="B70" s="59"/>
      <x:c r="C70" s="65"/>
      <x:c r="D70" s="70"/>
    </x:row>
    <x:row r="71">
      <x:c r="A71" s="62"/>
      <x:c r="B71" s="59"/>
      <x:c r="C71" s="65"/>
      <x:c r="D71" s="70"/>
    </x:row>
    <x:row r="72">
      <x:c r="A72" s="62"/>
      <x:c r="B72" s="59"/>
      <x:c r="C72" s="65"/>
      <x:c r="D72" s="70"/>
    </x:row>
    <x:row r="73">
      <x:c r="A73" s="62"/>
      <x:c r="B73" s="59"/>
      <x:c r="C73" s="65"/>
      <x:c r="D73" s="70"/>
    </x:row>
    <x:row r="74">
      <x:c r="A74" s="62"/>
      <x:c r="B74" s="59"/>
      <x:c r="C74" s="65"/>
      <x:c r="D74" s="70"/>
    </x:row>
    <x:row r="75">
      <x:c r="A75" s="62"/>
      <x:c r="B75" s="59"/>
      <x:c r="C75" s="65"/>
      <x:c r="D75" s="70"/>
    </x:row>
    <x:row r="76">
      <x:c r="A76" s="62"/>
      <x:c r="B76" s="59"/>
      <x:c r="C76" s="65"/>
      <x:c r="D76" s="70"/>
    </x:row>
    <x:row r="77">
      <x:c r="A77" s="62"/>
      <x:c r="B77" s="59"/>
      <x:c r="C77" s="65"/>
      <x:c r="D77" s="70"/>
    </x:row>
    <x:row r="78">
      <x:c r="A78" s="62"/>
      <x:c r="B78" s="59"/>
      <x:c r="C78" s="65"/>
      <x:c r="D78" s="70"/>
    </x:row>
    <x:row r="79">
      <x:c r="A79" s="62"/>
      <x:c r="B79" s="59"/>
      <x:c r="C79" s="65"/>
      <x:c r="D79" s="70"/>
    </x:row>
    <x:row r="80">
      <x:c r="A80" s="62"/>
      <x:c r="B80" s="59"/>
      <x:c r="C80" s="65"/>
      <x:c r="D80" s="70"/>
    </x:row>
    <x:row r="81">
      <x:c r="A81" s="62"/>
      <x:c r="B81" s="59"/>
      <x:c r="C81" s="65"/>
      <x:c r="D81" s="70"/>
    </x:row>
    <x:row r="82">
      <x:c r="A82" s="62"/>
      <x:c r="B82" s="59"/>
      <x:c r="C82" s="65"/>
      <x:c r="D82" s="70"/>
    </x:row>
    <x:row r="83">
      <x:c r="A83" s="62"/>
      <x:c r="B83" s="59"/>
      <x:c r="C83" s="65"/>
      <x:c r="D83" s="70"/>
    </x:row>
    <x:row r="84">
      <x:c r="A84" s="62"/>
      <x:c r="B84" s="59"/>
      <x:c r="C84" s="65"/>
      <x:c r="D84" s="70"/>
    </x:row>
    <x:row r="85">
      <x:c r="A85" s="62"/>
      <x:c r="B85" s="59"/>
      <x:c r="C85" s="65"/>
      <x:c r="D85" s="70"/>
    </x:row>
    <x:row r="86">
      <x:c r="A86" s="62"/>
      <x:c r="B86" s="59"/>
      <x:c r="C86" s="65"/>
      <x:c r="D86" s="70"/>
    </x:row>
    <x:row r="87">
      <x:c r="A87" s="62"/>
      <x:c r="B87" s="59"/>
      <x:c r="C87" s="65"/>
      <x:c r="D87" s="70"/>
    </x:row>
    <x:row r="88">
      <x:c r="A88" s="62"/>
      <x:c r="B88" s="59"/>
      <x:c r="C88" s="65"/>
      <x:c r="D88" s="70"/>
    </x:row>
    <x:row r="89">
      <x:c r="A89" s="62"/>
      <x:c r="B89" s="59"/>
      <x:c r="C89" s="65"/>
      <x:c r="D89" s="70"/>
    </x:row>
    <x:row r="90">
      <x:c r="A90" s="62"/>
      <x:c r="B90" s="59"/>
      <x:c r="C90" s="65"/>
      <x:c r="D90" s="70"/>
    </x:row>
    <x:row r="91">
      <x:c r="A91" s="62"/>
      <x:c r="B91" s="59"/>
      <x:c r="C91" s="65"/>
      <x:c r="D91" s="70"/>
    </x:row>
    <x:row r="92">
      <x:c r="A92" s="62"/>
      <x:c r="B92" s="59"/>
      <x:c r="C92" s="65"/>
      <x:c r="D92" s="70"/>
    </x:row>
    <x:row r="93">
      <x:c r="A93" s="62"/>
      <x:c r="B93" s="59"/>
      <x:c r="C93" s="65"/>
      <x:c r="D93" s="70"/>
    </x:row>
    <x:row r="94">
      <x:c r="A94" s="62"/>
      <x:c r="B94" s="59"/>
      <x:c r="C94" s="65"/>
      <x:c r="D94" s="70"/>
    </x:row>
    <x:row r="95">
      <x:c r="A95" s="62"/>
      <x:c r="B95" s="59"/>
      <x:c r="C95" s="65"/>
      <x:c r="D95" s="70"/>
    </x:row>
    <x:row r="96">
      <x:c r="A96" s="62"/>
      <x:c r="B96" s="59"/>
      <x:c r="C96" s="65"/>
      <x:c r="D96" s="70"/>
    </x:row>
    <x:row r="97">
      <x:c r="A97" s="62"/>
      <x:c r="B97" s="59"/>
      <x:c r="C97" s="65"/>
      <x:c r="D97" s="70"/>
    </x:row>
    <x:row r="98">
      <x:c r="A98" s="62"/>
      <x:c r="B98" s="59"/>
      <x:c r="C98" s="65"/>
      <x:c r="D98" s="70"/>
    </x:row>
    <x:row r="99">
      <x:c r="A99" s="62"/>
      <x:c r="B99" s="59"/>
      <x:c r="C99" s="65"/>
      <x:c r="D99" s="70"/>
    </x:row>
    <x:row r="100">
      <x:c r="A100" s="62"/>
      <x:c r="B100" s="59"/>
      <x:c r="C100" s="65"/>
      <x:c r="D100" s="70"/>
    </x:row>
    <x:row r="101">
      <x:c r="A101" s="62"/>
      <x:c r="B101" s="59"/>
      <x:c r="C101" s="65"/>
      <x:c r="D101" s="70"/>
    </x:row>
    <x:row r="102">
      <x:c r="A102" s="62"/>
      <x:c r="B102" s="59"/>
      <x:c r="C102" s="65"/>
      <x:c r="D102" s="70"/>
    </x:row>
    <x:row r="103">
      <x:c r="A103" s="62"/>
      <x:c r="B103" s="59"/>
      <x:c r="C103" s="65"/>
      <x:c r="D103" s="70"/>
    </x:row>
    <x:row r="104">
      <x:c r="A104" s="63"/>
      <x:c r="B104" s="60"/>
      <x:c r="C104" s="66"/>
      <x:c r="D104" s="71"/>
    </x:row>
  </x:sheetData>
  <x:mergeCells>
    <x:mergeCell ref="A1:D1"/>
    <x:mergeCell ref="A2:D2"/>
  </x:mergeCells>
  <x:dataValidations count="1">
    <x:dataValidation type="list" sqref="B5:B104">
      <x:formula1>"Sol,Rodrigo"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2" hidden="0" customWidth="1"/>
    <x:col min="11" max="11" width="20" hidden="0" customWidth="1"/>
    <x:col min="12" max="12" width="18" hidden="0" customWidth="1"/>
    <x:col min="13" max="13" width="20" hidden="0" customWidth="1"/>
    <x:col min="14" max="14" width="16" hidden="0" customWidth="1"/>
    <x:col min="15" max="15" width="16" hidden="0" customWidth="1"/>
    <x:col min="16" max="16" width="24" hidden="0" customWidth="1"/>
  </x:cols>
  <x:sheetData>
    <x:row r="1" ht="34" customHeight="1">
      <x:c r="A1" s="48" t="str">
        <x:v>Liquidaciones del mes</x:v>
      </x:c>
    </x:row>
    <x:row r="2" ht="36" customHeight="1">
      <x:c r="A2" s="51" t="str">
        <x:v>Las primeras cuatro columnas son obligatorias. Completá los demás valores si corresponden; los vacíos toman cero o el valor predeterminado.</x:v>
      </x:c>
    </x:row>
    <x:row r="4" ht="32" customHeight="1">
      <x:c r="A4" s="56" t="str">
        <x:v>Periodo</x:v>
      </x:c>
      <x:c r="B4" s="56" t="str">
        <x:v>Cédula</x:v>
      </x:c>
      <x:c r="C4" s="56" t="str">
        <x:v>Nombre</x:v>
      </x:c>
      <x:c r="D4" s="56" t="str">
        <x:v>Sueldo bruto</x:v>
      </x:c>
      <x:c r="E4" s="56" t="str">
        <x:v>Comisiones</x:v>
      </x:c>
      <x:c r="F4" s="56" t="str">
        <x:v>Descuento IPS</x:v>
      </x:c>
      <x:c r="G4" s="56" t="str">
        <x:v>Neto a cobrar</x:v>
      </x:c>
      <x:c r="H4" s="56" t="str">
        <x:v>Adelantos</x:v>
      </x:c>
      <x:c r="I4" s="56" t="str">
        <x:v>Otros descuentos</x:v>
      </x:c>
      <x:c r="J4" s="56" t="str">
        <x:v>Descuento ausencias</x:v>
      </x:c>
      <x:c r="K4" s="56" t="str">
        <x:v>Descuento reposos</x:v>
      </x:c>
      <x:c r="L4" s="56" t="str">
        <x:v>Días liquidados</x:v>
      </x:c>
      <x:c r="M4" s="56" t="str">
        <x:v>Sueldo referencia</x:v>
      </x:c>
      <x:c r="N4" s="56" t="str">
        <x:v>Días ausencia</x:v>
      </x:c>
      <x:c r="O4" s="56" t="str">
        <x:v>Días reposo</x:v>
      </x:c>
      <x:c r="P4" s="56" t="str">
        <x:v>Tipo liquidación</x:v>
      </x:c>
    </x:row>
    <x:row r="5">
      <x:c r="A5" s="75" t="str">
        <x:v>05-2026</x:v>
      </x:c>
      <x:c r="B5" s="58" t="str">
        <x:v>6133468</x:v>
      </x:c>
      <x:c r="C5" s="58" t="str">
        <x:v>Sol Natalia Blaires Florentin</x:v>
      </x:c>
      <x:c r="D5" s="64" t="n">
        <x:v>8000000</x:v>
      </x:c>
      <x:c r="E5" s="78" t="n">
        <x:v>0</x:v>
      </x:c>
      <x:c r="F5" s="78" t="n">
        <x:v>0</x:v>
      </x:c>
      <x:c r="G5" s="78" t="n">
        <x:v>8000000</x:v>
      </x:c>
      <x:c r="H5" s="78" t="n">
        <x:v>0</x:v>
      </x:c>
      <x:c r="I5" s="78" t="n">
        <x:v>0</x:v>
      </x:c>
      <x:c r="J5" s="78" t="n">
        <x:v>0</x:v>
      </x:c>
      <x:c r="K5" s="78" t="n">
        <x:v>0</x:v>
      </x:c>
      <x:c r="L5" s="81" t="n">
        <x:v>30</x:v>
      </x:c>
      <x:c r="M5" s="78" t="n">
        <x:v>8000000</x:v>
      </x:c>
      <x:c r="N5" s="81" t="n">
        <x:v>0</x:v>
      </x:c>
      <x:c r="O5" s="81" t="n">
        <x:v>0</x:v>
      </x:c>
      <x:c r="P5" s="69" t="str">
        <x:v>Importada desde Excel</x:v>
      </x:c>
    </x:row>
    <x:row r="6">
      <x:c r="A6" s="76" t="str">
        <x:v>05-2026</x:v>
      </x:c>
      <x:c r="B6" s="59" t="str">
        <x:v>5201642</x:v>
      </x:c>
      <x:c r="C6" s="59" t="str">
        <x:v>Rodrigo David Cañiza Villalba</x:v>
      </x:c>
      <x:c r="D6" s="65" t="n">
        <x:v>8000000</x:v>
      </x:c>
      <x:c r="E6" s="79" t="n">
        <x:v>2400000</x:v>
      </x:c>
      <x:c r="F6" s="79" t="n">
        <x:v>0</x:v>
      </x:c>
      <x:c r="G6" s="79" t="n">
        <x:v>10400000</x:v>
      </x:c>
      <x:c r="H6" s="79" t="n">
        <x:v>0</x:v>
      </x:c>
      <x:c r="I6" s="79" t="n">
        <x:v>0</x:v>
      </x:c>
      <x:c r="J6" s="79" t="n">
        <x:v>0</x:v>
      </x:c>
      <x:c r="K6" s="79" t="n">
        <x:v>0</x:v>
      </x:c>
      <x:c r="L6" s="82" t="n">
        <x:v>30</x:v>
      </x:c>
      <x:c r="M6" s="79" t="n">
        <x:v>8000000</x:v>
      </x:c>
      <x:c r="N6" s="82" t="n">
        <x:v>0</x:v>
      </x:c>
      <x:c r="O6" s="82" t="n">
        <x:v>0</x:v>
      </x:c>
      <x:c r="P6" s="70" t="str">
        <x:v>Importada desde Excel</x:v>
      </x:c>
    </x:row>
    <x:row r="7">
      <x:c r="A7" s="76" t="str">
        <x:v>05-2026</x:v>
      </x:c>
      <x:c r="B7" s="59" t="str">
        <x:v>4858391</x:v>
      </x:c>
      <x:c r="C7" s="59" t="str">
        <x:v>Leticia Ines Rojas Olivero</x:v>
      </x:c>
      <x:c r="D7" s="65" t="n">
        <x:v>2899048</x:v>
      </x:c>
      <x:c r="E7" s="79" t="n">
        <x:v>858805</x:v>
      </x:c>
      <x:c r="F7" s="79" t="n">
        <x:v>0</x:v>
      </x:c>
      <x:c r="G7" s="79" t="n">
        <x:v>3757853</x:v>
      </x:c>
      <x:c r="H7" s="79" t="n">
        <x:v>0</x:v>
      </x:c>
      <x:c r="I7" s="79" t="n">
        <x:v>0</x:v>
      </x:c>
      <x:c r="J7" s="79" t="n">
        <x:v>0</x:v>
      </x:c>
      <x:c r="K7" s="79" t="n">
        <x:v>0</x:v>
      </x:c>
      <x:c r="L7" s="82" t="n">
        <x:v>30</x:v>
      </x:c>
      <x:c r="M7" s="79" t="n">
        <x:v>2899048</x:v>
      </x:c>
      <x:c r="N7" s="82" t="n">
        <x:v>0</x:v>
      </x:c>
      <x:c r="O7" s="82" t="n">
        <x:v>0</x:v>
      </x:c>
      <x:c r="P7" s="70" t="str">
        <x:v>Importada desde Excel</x:v>
      </x:c>
    </x:row>
    <x:row r="8">
      <x:c r="A8" s="76" t="str">
        <x:v>05-2026</x:v>
      </x:c>
      <x:c r="B8" s="59" t="str">
        <x:v>5511069</x:v>
      </x:c>
      <x:c r="C8" s="59" t="str">
        <x:v>Anayeli Gonzalez</x:v>
      </x:c>
      <x:c r="D8" s="65" t="n">
        <x:v>2899048</x:v>
      </x:c>
      <x:c r="E8" s="79" t="n">
        <x:v>456340</x:v>
      </x:c>
      <x:c r="F8" s="79" t="n">
        <x:v>0</x:v>
      </x:c>
      <x:c r="G8" s="79" t="n">
        <x:v>3355388</x:v>
      </x:c>
      <x:c r="H8" s="79" t="n">
        <x:v>0</x:v>
      </x:c>
      <x:c r="I8" s="79" t="n">
        <x:v>0</x:v>
      </x:c>
      <x:c r="J8" s="79" t="n">
        <x:v>0</x:v>
      </x:c>
      <x:c r="K8" s="79" t="n">
        <x:v>0</x:v>
      </x:c>
      <x:c r="L8" s="82" t="n">
        <x:v>30</x:v>
      </x:c>
      <x:c r="M8" s="79" t="n">
        <x:v>2899048</x:v>
      </x:c>
      <x:c r="N8" s="82" t="n">
        <x:v>0</x:v>
      </x:c>
      <x:c r="O8" s="82" t="n">
        <x:v>0</x:v>
      </x:c>
      <x:c r="P8" s="70" t="str">
        <x:v>Importada desde Excel</x:v>
      </x:c>
    </x:row>
    <x:row r="9">
      <x:c r="A9" s="76" t="str">
        <x:v>05-2026</x:v>
      </x:c>
      <x:c r="B9" s="59" t="str">
        <x:v>4789616</x:v>
      </x:c>
      <x:c r="C9" s="59" t="str">
        <x:v>Alucard Zacchino</x:v>
      </x:c>
      <x:c r="D9" s="65" t="n">
        <x:v>2899048</x:v>
      </x:c>
      <x:c r="E9" s="79" t="n">
        <x:v>0</x:v>
      </x:c>
      <x:c r="F9" s="79" t="n">
        <x:v>0</x:v>
      </x:c>
      <x:c r="G9" s="79" t="n">
        <x:v>1799048</x:v>
      </x:c>
      <x:c r="H9" s="79" t="n">
        <x:v>1100000</x:v>
      </x:c>
      <x:c r="I9" s="79" t="n">
        <x:v>0</x:v>
      </x:c>
      <x:c r="J9" s="79" t="n">
        <x:v>0</x:v>
      </x:c>
      <x:c r="K9" s="79" t="n">
        <x:v>0</x:v>
      </x:c>
      <x:c r="L9" s="82" t="n">
        <x:v>30</x:v>
      </x:c>
      <x:c r="M9" s="79" t="n">
        <x:v>2899048</x:v>
      </x:c>
      <x:c r="N9" s="82" t="n">
        <x:v>0</x:v>
      </x:c>
      <x:c r="O9" s="82" t="n">
        <x:v>0</x:v>
      </x:c>
      <x:c r="P9" s="70" t="str">
        <x:v>Importada desde Excel</x:v>
      </x:c>
    </x:row>
    <x:row r="10">
      <x:c r="A10" s="76" t="str">
        <x:v>05-2026</x:v>
      </x:c>
      <x:c r="B10" s="59" t="str">
        <x:v>1</x:v>
      </x:c>
      <x:c r="C10" s="59" t="str">
        <x:v>Rodrigo Fernando Sarria Keim</x:v>
      </x:c>
      <x:c r="D10" s="65" t="n">
        <x:v>3480000</x:v>
      </x:c>
      <x:c r="E10" s="79" t="n">
        <x:v>0</x:v>
      </x:c>
      <x:c r="F10" s="79" t="n">
        <x:v>0</x:v>
      </x:c>
      <x:c r="G10" s="79" t="n">
        <x:v>3480000</x:v>
      </x:c>
      <x:c r="H10" s="79" t="n">
        <x:v>0</x:v>
      </x:c>
      <x:c r="I10" s="79" t="n">
        <x:v>0</x:v>
      </x:c>
      <x:c r="J10" s="79" t="n">
        <x:v>0</x:v>
      </x:c>
      <x:c r="K10" s="79" t="n">
        <x:v>0</x:v>
      </x:c>
      <x:c r="L10" s="82" t="n">
        <x:v>0</x:v>
      </x:c>
      <x:c r="M10" s="79" t="n">
        <x:v>3480000</x:v>
      </x:c>
      <x:c r="N10" s="82" t="n">
        <x:v>0</x:v>
      </x:c>
      <x:c r="O10" s="82" t="n">
        <x:v>0</x:v>
      </x:c>
      <x:c r="P10" s="70" t="str">
        <x:v>Monto manual</x:v>
      </x:c>
    </x:row>
    <x:row r="11">
      <x:c r="A11" s="76" t="str">
        <x:v>05-2026</x:v>
      </x:c>
      <x:c r="B11" s="59" t="str">
        <x:v>11</x:v>
      </x:c>
      <x:c r="C11" s="59" t="str">
        <x:v>Raul Cañiza Bogado</x:v>
      </x:c>
      <x:c r="D11" s="65" t="n">
        <x:v>1000000</x:v>
      </x:c>
      <x:c r="E11" s="79" t="n">
        <x:v>0</x:v>
      </x:c>
      <x:c r="F11" s="79" t="n">
        <x:v>0</x:v>
      </x:c>
      <x:c r="G11" s="79" t="n">
        <x:v>1000000</x:v>
      </x:c>
      <x:c r="H11" s="79" t="n">
        <x:v>0</x:v>
      </x:c>
      <x:c r="I11" s="79" t="n">
        <x:v>0</x:v>
      </x:c>
      <x:c r="J11" s="79" t="n">
        <x:v>0</x:v>
      </x:c>
      <x:c r="K11" s="79" t="n">
        <x:v>0</x:v>
      </x:c>
      <x:c r="L11" s="82" t="n">
        <x:v>0</x:v>
      </x:c>
      <x:c r="M11" s="79" t="n">
        <x:v>1000000</x:v>
      </x:c>
      <x:c r="N11" s="82" t="n">
        <x:v>0</x:v>
      </x:c>
      <x:c r="O11" s="82" t="n">
        <x:v>0</x:v>
      </x:c>
      <x:c r="P11" s="70" t="str">
        <x:v>Monto manual</x:v>
      </x:c>
    </x:row>
    <x:row r="12">
      <x:c r="A12" s="76" t="str">
        <x:v>05-2026</x:v>
      </x:c>
      <x:c r="B12" s="59" t="str">
        <x:v>5215474</x:v>
      </x:c>
      <x:c r="C12" s="59" t="str">
        <x:v>Liz Paola Olivero Toledo</x:v>
      </x:c>
      <x:c r="D12" s="65" t="n">
        <x:v>2899048</x:v>
      </x:c>
      <x:c r="E12" s="79" t="n">
        <x:v>681620</x:v>
      </x:c>
      <x:c r="F12" s="79" t="n">
        <x:v>0</x:v>
      </x:c>
      <x:c r="G12" s="79" t="n">
        <x:v>2880668</x:v>
      </x:c>
      <x:c r="H12" s="79" t="n">
        <x:v>700000</x:v>
      </x:c>
      <x:c r="I12" s="79" t="n">
        <x:v>0</x:v>
      </x:c>
      <x:c r="J12" s="79" t="n">
        <x:v>0</x:v>
      </x:c>
      <x:c r="K12" s="79" t="n">
        <x:v>0</x:v>
      </x:c>
      <x:c r="L12" s="82" t="n">
        <x:v>30</x:v>
      </x:c>
      <x:c r="M12" s="79" t="n">
        <x:v>2899048</x:v>
      </x:c>
      <x:c r="N12" s="82" t="n">
        <x:v>0</x:v>
      </x:c>
      <x:c r="O12" s="82" t="n">
        <x:v>0</x:v>
      </x:c>
      <x:c r="P12" s="70" t="str">
        <x:v>Importada desde Excel</x:v>
      </x:c>
    </x:row>
    <x:row r="13">
      <x:c r="A13" s="76" t="str">
        <x:v>05-2026</x:v>
      </x:c>
      <x:c r="B13" s="59" t="str">
        <x:v>4224327</x:v>
      </x:c>
      <x:c r="C13" s="59" t="str">
        <x:v>Nidia Beatriz Silva</x:v>
      </x:c>
      <x:c r="D13" s="65" t="n">
        <x:v>2899048</x:v>
      </x:c>
      <x:c r="E13" s="79" t="n">
        <x:v>538476</x:v>
      </x:c>
      <x:c r="F13" s="79" t="n">
        <x:v>0</x:v>
      </x:c>
      <x:c r="G13" s="79" t="n">
        <x:v>2787524</x:v>
      </x:c>
      <x:c r="H13" s="79" t="n">
        <x:v>650000</x:v>
      </x:c>
      <x:c r="I13" s="79" t="n">
        <x:v>0</x:v>
      </x:c>
      <x:c r="J13" s="79" t="n">
        <x:v>0</x:v>
      </x:c>
      <x:c r="K13" s="79" t="n">
        <x:v>0</x:v>
      </x:c>
      <x:c r="L13" s="82" t="n">
        <x:v>30</x:v>
      </x:c>
      <x:c r="M13" s="79" t="n">
        <x:v>2899048</x:v>
      </x:c>
      <x:c r="N13" s="82" t="n">
        <x:v>0</x:v>
      </x:c>
      <x:c r="O13" s="82" t="n">
        <x:v>0</x:v>
      </x:c>
      <x:c r="P13" s="70" t="str">
        <x:v>Importada desde Excel</x:v>
      </x:c>
    </x:row>
    <x:row r="14">
      <x:c r="A14" s="76" t="str">
        <x:v>05-2026</x:v>
      </x:c>
      <x:c r="B14" s="59" t="str">
        <x:v>5449164</x:v>
      </x:c>
      <x:c r="C14" s="59" t="str">
        <x:v>Dahiana Araceli Jousson Ayala</x:v>
      </x:c>
      <x:c r="D14" s="65" t="n">
        <x:v>2899048</x:v>
      </x:c>
      <x:c r="E14" s="79" t="n">
        <x:v>143600</x:v>
      </x:c>
      <x:c r="F14" s="79" t="n">
        <x:v>0</x:v>
      </x:c>
      <x:c r="G14" s="79" t="n">
        <x:v>2092648</x:v>
      </x:c>
      <x:c r="H14" s="79" t="n">
        <x:v>950000</x:v>
      </x:c>
      <x:c r="I14" s="79" t="n">
        <x:v>0</x:v>
      </x:c>
      <x:c r="J14" s="79" t="n">
        <x:v>0</x:v>
      </x:c>
      <x:c r="K14" s="79" t="n">
        <x:v>0</x:v>
      </x:c>
      <x:c r="L14" s="82" t="n">
        <x:v>30</x:v>
      </x:c>
      <x:c r="M14" s="79" t="n">
        <x:v>2899048</x:v>
      </x:c>
      <x:c r="N14" s="82" t="n">
        <x:v>0</x:v>
      </x:c>
      <x:c r="O14" s="82" t="n">
        <x:v>0</x:v>
      </x:c>
      <x:c r="P14" s="70" t="str">
        <x:v>Importada desde Excel</x:v>
      </x:c>
    </x:row>
    <x:row r="15">
      <x:c r="A15" s="76" t="str">
        <x:v>05-2026</x:v>
      </x:c>
      <x:c r="B15" s="59" t="str">
        <x:v>111</x:v>
      </x:c>
      <x:c r="C15" s="59" t="str">
        <x:v>Fiamma Mencia</x:v>
      </x:c>
      <x:c r="D15" s="65" t="n">
        <x:v>250000</x:v>
      </x:c>
      <x:c r="E15" s="79" t="n">
        <x:v>0</x:v>
      </x:c>
      <x:c r="F15" s="79" t="n">
        <x:v>0</x:v>
      </x:c>
      <x:c r="G15" s="79" t="n">
        <x:v>250000</x:v>
      </x:c>
      <x:c r="H15" s="79" t="n">
        <x:v>0</x:v>
      </x:c>
      <x:c r="I15" s="79" t="n">
        <x:v>0</x:v>
      </x:c>
      <x:c r="J15" s="79" t="n">
        <x:v>0</x:v>
      </x:c>
      <x:c r="K15" s="79" t="n">
        <x:v>0</x:v>
      </x:c>
      <x:c r="L15" s="82" t="n">
        <x:v>0</x:v>
      </x:c>
      <x:c r="M15" s="79" t="n">
        <x:v>250000</x:v>
      </x:c>
      <x:c r="N15" s="82" t="n">
        <x:v>0</x:v>
      </x:c>
      <x:c r="O15" s="82" t="n">
        <x:v>0</x:v>
      </x:c>
      <x:c r="P15" s="70" t="str">
        <x:v>Monto manual</x:v>
      </x:c>
    </x:row>
    <x:row r="16">
      <x:c r="A16" s="76"/>
      <x:c r="B16" s="59"/>
      <x:c r="C16" s="59"/>
      <x:c r="D16" s="65"/>
      <x:c r="E16" s="79"/>
      <x:c r="F16" s="79"/>
      <x:c r="G16" s="79"/>
      <x:c r="H16" s="79"/>
      <x:c r="I16" s="79"/>
      <x:c r="J16" s="79"/>
      <x:c r="K16" s="79"/>
      <x:c r="L16" s="82"/>
      <x:c r="M16" s="79"/>
      <x:c r="N16" s="82"/>
      <x:c r="O16" s="82"/>
      <x:c r="P16" s="70"/>
    </x:row>
    <x:row r="17">
      <x:c r="A17" s="76"/>
      <x:c r="B17" s="59"/>
      <x:c r="C17" s="59"/>
      <x:c r="D17" s="65"/>
      <x:c r="E17" s="79"/>
      <x:c r="F17" s="79"/>
      <x:c r="G17" s="79"/>
      <x:c r="H17" s="79"/>
      <x:c r="I17" s="79"/>
      <x:c r="J17" s="79"/>
      <x:c r="K17" s="79"/>
      <x:c r="L17" s="82"/>
      <x:c r="M17" s="79"/>
      <x:c r="N17" s="82"/>
      <x:c r="O17" s="82"/>
      <x:c r="P17" s="70"/>
    </x:row>
    <x:row r="18">
      <x:c r="A18" s="76"/>
      <x:c r="B18" s="59"/>
      <x:c r="C18" s="59"/>
      <x:c r="D18" s="65"/>
      <x:c r="E18" s="79"/>
      <x:c r="F18" s="79"/>
      <x:c r="G18" s="79"/>
      <x:c r="H18" s="79"/>
      <x:c r="I18" s="79"/>
      <x:c r="J18" s="79"/>
      <x:c r="K18" s="79"/>
      <x:c r="L18" s="82"/>
      <x:c r="M18" s="79"/>
      <x:c r="N18" s="82"/>
      <x:c r="O18" s="82"/>
      <x:c r="P18" s="70"/>
    </x:row>
    <x:row r="19">
      <x:c r="A19" s="76"/>
      <x:c r="B19" s="59"/>
      <x:c r="C19" s="59"/>
      <x:c r="D19" s="65"/>
      <x:c r="E19" s="79"/>
      <x:c r="F19" s="79"/>
      <x:c r="G19" s="79"/>
      <x:c r="H19" s="79"/>
      <x:c r="I19" s="79"/>
      <x:c r="J19" s="79"/>
      <x:c r="K19" s="79"/>
      <x:c r="L19" s="82"/>
      <x:c r="M19" s="79"/>
      <x:c r="N19" s="82"/>
      <x:c r="O19" s="82"/>
      <x:c r="P19" s="70"/>
    </x:row>
    <x:row r="20">
      <x:c r="A20" s="76"/>
      <x:c r="B20" s="59"/>
      <x:c r="C20" s="59"/>
      <x:c r="D20" s="65"/>
      <x:c r="E20" s="79"/>
      <x:c r="F20" s="79"/>
      <x:c r="G20" s="79"/>
      <x:c r="H20" s="79"/>
      <x:c r="I20" s="79"/>
      <x:c r="J20" s="79"/>
      <x:c r="K20" s="79"/>
      <x:c r="L20" s="82"/>
      <x:c r="M20" s="79"/>
      <x:c r="N20" s="82"/>
      <x:c r="O20" s="82"/>
      <x:c r="P20" s="70"/>
    </x:row>
    <x:row r="21">
      <x:c r="A21" s="76"/>
      <x:c r="B21" s="59"/>
      <x:c r="C21" s="59"/>
      <x:c r="D21" s="65"/>
      <x:c r="E21" s="79"/>
      <x:c r="F21" s="79"/>
      <x:c r="G21" s="79"/>
      <x:c r="H21" s="79"/>
      <x:c r="I21" s="79"/>
      <x:c r="J21" s="79"/>
      <x:c r="K21" s="79"/>
      <x:c r="L21" s="82"/>
      <x:c r="M21" s="79"/>
      <x:c r="N21" s="82"/>
      <x:c r="O21" s="82"/>
      <x:c r="P21" s="70"/>
    </x:row>
    <x:row r="22">
      <x:c r="A22" s="76"/>
      <x:c r="B22" s="59"/>
      <x:c r="C22" s="59"/>
      <x:c r="D22" s="65"/>
      <x:c r="E22" s="79"/>
      <x:c r="F22" s="79"/>
      <x:c r="G22" s="79"/>
      <x:c r="H22" s="79"/>
      <x:c r="I22" s="79"/>
      <x:c r="J22" s="79"/>
      <x:c r="K22" s="79"/>
      <x:c r="L22" s="82"/>
      <x:c r="M22" s="79"/>
      <x:c r="N22" s="82"/>
      <x:c r="O22" s="82"/>
      <x:c r="P22" s="70"/>
    </x:row>
    <x:row r="23">
      <x:c r="A23" s="76"/>
      <x:c r="B23" s="59"/>
      <x:c r="C23" s="59"/>
      <x:c r="D23" s="65"/>
      <x:c r="E23" s="79"/>
      <x:c r="F23" s="79"/>
      <x:c r="G23" s="79"/>
      <x:c r="H23" s="79"/>
      <x:c r="I23" s="79"/>
      <x:c r="J23" s="79"/>
      <x:c r="K23" s="79"/>
      <x:c r="L23" s="82"/>
      <x:c r="M23" s="79"/>
      <x:c r="N23" s="82"/>
      <x:c r="O23" s="82"/>
      <x:c r="P23" s="70"/>
    </x:row>
    <x:row r="24">
      <x:c r="A24" s="76"/>
      <x:c r="B24" s="59"/>
      <x:c r="C24" s="59"/>
      <x:c r="D24" s="65"/>
      <x:c r="E24" s="79"/>
      <x:c r="F24" s="79"/>
      <x:c r="G24" s="79"/>
      <x:c r="H24" s="79"/>
      <x:c r="I24" s="79"/>
      <x:c r="J24" s="79"/>
      <x:c r="K24" s="79"/>
      <x:c r="L24" s="82"/>
      <x:c r="M24" s="79"/>
      <x:c r="N24" s="82"/>
      <x:c r="O24" s="82"/>
      <x:c r="P24" s="70"/>
    </x:row>
    <x:row r="25">
      <x:c r="A25" s="76"/>
      <x:c r="B25" s="59"/>
      <x:c r="C25" s="59"/>
      <x:c r="D25" s="65"/>
      <x:c r="E25" s="79"/>
      <x:c r="F25" s="79"/>
      <x:c r="G25" s="79"/>
      <x:c r="H25" s="79"/>
      <x:c r="I25" s="79"/>
      <x:c r="J25" s="79"/>
      <x:c r="K25" s="79"/>
      <x:c r="L25" s="82"/>
      <x:c r="M25" s="79"/>
      <x:c r="N25" s="82"/>
      <x:c r="O25" s="82"/>
      <x:c r="P25" s="70"/>
    </x:row>
    <x:row r="26">
      <x:c r="A26" s="76"/>
      <x:c r="B26" s="59"/>
      <x:c r="C26" s="59"/>
      <x:c r="D26" s="65"/>
      <x:c r="E26" s="79"/>
      <x:c r="F26" s="79"/>
      <x:c r="G26" s="79"/>
      <x:c r="H26" s="79"/>
      <x:c r="I26" s="79"/>
      <x:c r="J26" s="79"/>
      <x:c r="K26" s="79"/>
      <x:c r="L26" s="82"/>
      <x:c r="M26" s="79"/>
      <x:c r="N26" s="82"/>
      <x:c r="O26" s="82"/>
      <x:c r="P26" s="70"/>
    </x:row>
    <x:row r="27">
      <x:c r="A27" s="76"/>
      <x:c r="B27" s="59"/>
      <x:c r="C27" s="59"/>
      <x:c r="D27" s="65"/>
      <x:c r="E27" s="79"/>
      <x:c r="F27" s="79"/>
      <x:c r="G27" s="79"/>
      <x:c r="H27" s="79"/>
      <x:c r="I27" s="79"/>
      <x:c r="J27" s="79"/>
      <x:c r="K27" s="79"/>
      <x:c r="L27" s="82"/>
      <x:c r="M27" s="79"/>
      <x:c r="N27" s="82"/>
      <x:c r="O27" s="82"/>
      <x:c r="P27" s="70"/>
    </x:row>
    <x:row r="28">
      <x:c r="A28" s="76"/>
      <x:c r="B28" s="59"/>
      <x:c r="C28" s="59"/>
      <x:c r="D28" s="65"/>
      <x:c r="E28" s="79"/>
      <x:c r="F28" s="79"/>
      <x:c r="G28" s="79"/>
      <x:c r="H28" s="79"/>
      <x:c r="I28" s="79"/>
      <x:c r="J28" s="79"/>
      <x:c r="K28" s="79"/>
      <x:c r="L28" s="82"/>
      <x:c r="M28" s="79"/>
      <x:c r="N28" s="82"/>
      <x:c r="O28" s="82"/>
      <x:c r="P28" s="70"/>
    </x:row>
    <x:row r="29">
      <x:c r="A29" s="76"/>
      <x:c r="B29" s="59"/>
      <x:c r="C29" s="59"/>
      <x:c r="D29" s="65"/>
      <x:c r="E29" s="79"/>
      <x:c r="F29" s="79"/>
      <x:c r="G29" s="79"/>
      <x:c r="H29" s="79"/>
      <x:c r="I29" s="79"/>
      <x:c r="J29" s="79"/>
      <x:c r="K29" s="79"/>
      <x:c r="L29" s="82"/>
      <x:c r="M29" s="79"/>
      <x:c r="N29" s="82"/>
      <x:c r="O29" s="82"/>
      <x:c r="P29" s="70"/>
    </x:row>
    <x:row r="30">
      <x:c r="A30" s="76"/>
      <x:c r="B30" s="59"/>
      <x:c r="C30" s="59"/>
      <x:c r="D30" s="65"/>
      <x:c r="E30" s="79"/>
      <x:c r="F30" s="79"/>
      <x:c r="G30" s="79"/>
      <x:c r="H30" s="79"/>
      <x:c r="I30" s="79"/>
      <x:c r="J30" s="79"/>
      <x:c r="K30" s="79"/>
      <x:c r="L30" s="82"/>
      <x:c r="M30" s="79"/>
      <x:c r="N30" s="82"/>
      <x:c r="O30" s="82"/>
      <x:c r="P30" s="70"/>
    </x:row>
    <x:row r="31">
      <x:c r="A31" s="76"/>
      <x:c r="B31" s="59"/>
      <x:c r="C31" s="59"/>
      <x:c r="D31" s="65"/>
      <x:c r="E31" s="79"/>
      <x:c r="F31" s="79"/>
      <x:c r="G31" s="79"/>
      <x:c r="H31" s="79"/>
      <x:c r="I31" s="79"/>
      <x:c r="J31" s="79"/>
      <x:c r="K31" s="79"/>
      <x:c r="L31" s="82"/>
      <x:c r="M31" s="79"/>
      <x:c r="N31" s="82"/>
      <x:c r="O31" s="82"/>
      <x:c r="P31" s="70"/>
    </x:row>
    <x:row r="32">
      <x:c r="A32" s="76"/>
      <x:c r="B32" s="59"/>
      <x:c r="C32" s="59"/>
      <x:c r="D32" s="65"/>
      <x:c r="E32" s="79"/>
      <x:c r="F32" s="79"/>
      <x:c r="G32" s="79"/>
      <x:c r="H32" s="79"/>
      <x:c r="I32" s="79"/>
      <x:c r="J32" s="79"/>
      <x:c r="K32" s="79"/>
      <x:c r="L32" s="82"/>
      <x:c r="M32" s="79"/>
      <x:c r="N32" s="82"/>
      <x:c r="O32" s="82"/>
      <x:c r="P32" s="70"/>
    </x:row>
    <x:row r="33">
      <x:c r="A33" s="76"/>
      <x:c r="B33" s="59"/>
      <x:c r="C33" s="59"/>
      <x:c r="D33" s="65"/>
      <x:c r="E33" s="79"/>
      <x:c r="F33" s="79"/>
      <x:c r="G33" s="79"/>
      <x:c r="H33" s="79"/>
      <x:c r="I33" s="79"/>
      <x:c r="J33" s="79"/>
      <x:c r="K33" s="79"/>
      <x:c r="L33" s="82"/>
      <x:c r="M33" s="79"/>
      <x:c r="N33" s="82"/>
      <x:c r="O33" s="82"/>
      <x:c r="P33" s="70"/>
    </x:row>
    <x:row r="34">
      <x:c r="A34" s="77"/>
      <x:c r="B34" s="60"/>
      <x:c r="C34" s="60"/>
      <x:c r="D34" s="66"/>
      <x:c r="E34" s="80"/>
      <x:c r="F34" s="80"/>
      <x:c r="G34" s="80"/>
      <x:c r="H34" s="80"/>
      <x:c r="I34" s="80"/>
      <x:c r="J34" s="80"/>
      <x:c r="K34" s="80"/>
      <x:c r="L34" s="83"/>
      <x:c r="M34" s="80"/>
      <x:c r="N34" s="83"/>
      <x:c r="O34" s="83"/>
      <x:c r="P34" s="71"/>
    </x:row>
  </x:sheetData>
  <x:mergeCells>
    <x:mergeCell ref="A1:P1"/>
    <x:mergeCell ref="A2:P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52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48" t="str">
        <x:v>Control antes de importar</x:v>
      </x:c>
      <x:c r="F1" s="112" t="str">
        <x:v>Conciliación con resumen original — Mayo 2026</x:v>
      </x:c>
      <x:c r="G1" s="112"/>
      <x:c r="H1" s="112"/>
      <x:c r="I1" s="112"/>
    </x:row>
    <x:row r="2" ht="36" customHeight="1">
      <x:c r="A2" s="51" t="str">
        <x:v>Estos totales son orientativos para verificar que copiaste todo. BC Gestión volverá a validar cada fila.</x:v>
      </x:c>
    </x:row>
    <x:row r="3">
      <x:c r="F3" s="117" t="str">
        <x:v>Concepto</x:v>
      </x:c>
      <x:c r="G3" s="117" t="str">
        <x:v>Calculado</x:v>
      </x:c>
      <x:c r="H3" s="117" t="str">
        <x:v>Resumen original</x:v>
      </x:c>
      <x:c r="I3" s="117" t="str">
        <x:v>Diferencia</x:v>
      </x:c>
    </x:row>
    <x:row r="4">
      <x:c r="A4" s="86" t="str">
        <x:v>Hoja</x:v>
      </x:c>
      <x:c r="B4" s="86" t="str">
        <x:v>Filas cargadas</x:v>
      </x:c>
      <x:c r="C4" s="86" t="str">
        <x:v>Monto de control</x:v>
      </x:c>
      <x:c r="D4" s="86" t="str">
        <x:v>Qué representa</x:v>
      </x:c>
      <x:c r="F4" s="118" t="str">
        <x:v>Ingresos empresariales</x:v>
      </x:c>
      <x:c r="G4" s="127" t="n">
        <x:f>SUMIFS('Movimientos'!$E$5:$E$254,'Movimientos'!$B$5:$B$254,"Ingreso")+SUMIFS('Movimientos'!$E$5:$E$254,'Movimientos'!$B$5:$B$254,"Cobro externo")+SUMIFS('Adicionales'!$D$5:$D$154,'Adicionales'!$B$5:$B$154,"Ingreso")</x:f>
        <x:v>149853400</x:v>
      </x:c>
      <x:c r="H4" s="127" t="n">
        <x:v>158227330</x:v>
      </x:c>
      <x:c r="I4" s="128" t="n">
        <x:f>G4-H4</x:f>
        <x:v>-8373930</x:v>
      </x:c>
    </x:row>
    <x:row r="5">
      <x:c r="A5" s="90" t="str">
        <x:v>Movimientos</x:v>
      </x:c>
      <x:c r="B5" s="99" t="n">
        <x:f>COUNTA('Movimientos'!A5:A254)</x:f>
        <x:v>164</x:v>
      </x:c>
      <x:c r="C5" s="100" t="n">
        <x:f>SUM('Movimientos'!E5:E254)</x:f>
        <x:v>206650830</x:v>
      </x:c>
      <x:c r="D5" s="87" t="str">
        <x:v>Suma de todos los movimientos</x:v>
      </x:c>
      <x:c r="F5" s="121" t="str">
        <x:v>Egresos empresariales</x:v>
      </x:c>
      <x:c r="G5" s="129" t="n">
        <x:f>SUMIFS('Movimientos'!$E$5:$E$254,'Movimientos'!$B$5:$B$254,"Egreso")+SUMIFS('Adicionales'!$D$5:$D$154,'Adicionales'!$B$5:$B$154,"Egreso")+SUM('Cuotas'!$D$5:$D$64)+SUM('Liquidaciones'!$D$5:$D$34)+SUM('Liquidaciones'!$E$5:$E$34)-SUM('Liquidaciones'!$J$5:$J$34)-SUM('Liquidaciones'!$K$5:$K$34)</x:f>
        <x:v>127795084</x:v>
      </x:c>
      <x:c r="H5" s="129" t="n">
        <x:v>127795084</x:v>
      </x:c>
      <x:c r="I5" s="130" t="n">
        <x:f>G5-H5</x:f>
        <x:v>0</x:v>
      </x:c>
    </x:row>
    <x:row r="6">
      <x:c r="A6" s="91" t="str">
        <x:v>Adicionales</x:v>
      </x:c>
      <x:c r="B6" s="101" t="n">
        <x:f>COUNTA('Adicionales'!A5:A154)</x:f>
        <x:v>36</x:v>
      </x:c>
      <x:c r="C6" s="102" t="n">
        <x:f>SUM('Adicionales'!D5:D154)</x:f>
        <x:v>71095518</x:v>
      </x:c>
      <x:c r="D6" s="88" t="str">
        <x:v>Suma de adicionales</x:v>
      </x:c>
      <x:c r="F6" s="121" t="str">
        <x:v>Utilidad</x:v>
      </x:c>
      <x:c r="G6" s="129" t="n">
        <x:f>G4-G5</x:f>
        <x:v>22058316</x:v>
      </x:c>
      <x:c r="H6" s="129" t="n">
        <x:v>30432246</x:v>
      </x:c>
      <x:c r="I6" s="130" t="n">
        <x:f>G6-H6</x:f>
        <x:v>-8373930</x:v>
      </x:c>
    </x:row>
    <x:row r="7">
      <x:c r="A7" s="91" t="str">
        <x:v>Inversiones</x:v>
      </x:c>
      <x:c r="B7" s="101" t="n">
        <x:f>COUNTA('Inversiones'!A5:A84)</x:f>
        <x:v>1</x:v>
      </x:c>
      <x:c r="C7" s="102" t="n">
        <x:f>SUM('Inversiones'!C5:C84)</x:f>
        <x:v>6083000</x:v>
      </x:c>
      <x:c r="D7" s="88" t="str">
        <x:v>Suma de inversiones</x:v>
      </x:c>
      <x:c r="F7" s="121" t="str">
        <x:v>Inversión para catálogo</x:v>
      </x:c>
      <x:c r="G7" s="129" t="n">
        <x:f>SUM('Inversiones'!$C$5:$C$84)</x:f>
        <x:v>6083000</x:v>
      </x:c>
      <x:c r="H7" s="129" t="n">
        <x:v>6083000</x:v>
      </x:c>
      <x:c r="I7" s="130" t="n">
        <x:f>G7-H7</x:f>
        <x:v>0</x:v>
      </x:c>
    </x:row>
    <x:row r="8">
      <x:c r="A8" s="91" t="str">
        <x:v>Prestamos</x:v>
      </x:c>
      <x:c r="B8" s="101" t="n">
        <x:f>COUNTA('Prestamos'!A5:A34)</x:f>
        <x:v>0</x:v>
      </x:c>
      <x:c r="C8" s="102" t="n">
        <x:f>SUM('Prestamos'!E5:E34)</x:f>
        <x:v>0</x:v>
      </x:c>
      <x:c r="D8" s="88" t="str">
        <x:v>Monto recibido</x:v>
      </x:c>
      <x:c r="F8" s="121" t="str">
        <x:v>Retiros Sol</x:v>
      </x:c>
      <x:c r="G8" s="129" t="n">
        <x:f>SUMIFS('Retiros socios'!$C$5:$C$104,'Retiros socios'!$B$5:$B$104,"Sol")</x:f>
        <x:v>9169289</x:v>
      </x:c>
      <x:c r="H8" s="129" t="n">
        <x:v>9169289</x:v>
      </x:c>
      <x:c r="I8" s="130" t="n">
        <x:f>G8-H8</x:f>
        <x:v>0</x:v>
      </x:c>
    </x:row>
    <x:row r="9">
      <x:c r="A9" s="91" t="str">
        <x:v>Cuotas</x:v>
      </x:c>
      <x:c r="B9" s="101" t="n">
        <x:f>COUNTA('Cuotas'!A5:A64)</x:f>
        <x:v>2</x:v>
      </x:c>
      <x:c r="C9" s="102" t="n">
        <x:f>SUM('Cuotas'!D5:D64)</x:f>
        <x:v>1276937</x:v>
      </x:c>
      <x:c r="D9" s="88" t="str">
        <x:v>Cuotas pagadas</x:v>
      </x:c>
      <x:c r="F9" s="124" t="str">
        <x:v>Retiros Rodrigo</x:v>
      </x:c>
      <x:c r="G9" s="131" t="n">
        <x:f>SUMIFS('Retiros socios'!$C$5:$C$104,'Retiros socios'!$B$5:$B$104,"Rodrigo")</x:f>
        <x:v>10015589</x:v>
      </x:c>
      <x:c r="H9" s="131" t="n">
        <x:v>10015589</x:v>
      </x:c>
      <x:c r="I9" s="132" t="n">
        <x:f>G9-H9</x:f>
        <x:v>0</x:v>
      </x:c>
    </x:row>
    <x:row r="10">
      <x:c r="A10" s="91" t="str">
        <x:v>Retiros socios</x:v>
      </x:c>
      <x:c r="B10" s="101" t="n">
        <x:f>COUNTA('Retiros socios'!A5:A104)</x:f>
        <x:v>22</x:v>
      </x:c>
      <x:c r="C10" s="102" t="n">
        <x:f>SUM('Retiros socios'!C5:C104)</x:f>
        <x:v>19184878</x:v>
      </x:c>
      <x:c r="D10" s="88" t="str">
        <x:v>Retiros personales</x:v>
      </x:c>
    </x:row>
    <x:row r="11">
      <x:c r="A11" s="92" t="str">
        <x:v>Liquidaciones</x:v>
      </x:c>
      <x:c r="B11" s="103" t="n">
        <x:f>COUNTA('Liquidaciones'!A5:A34)</x:f>
        <x:v>11</x:v>
      </x:c>
      <x:c r="C11" s="104" t="n">
        <x:f>SUM('Liquidaciones'!D5:D34)+SUM('Liquidaciones'!E5:E34)-SUM('Liquidaciones'!J5:J34)-SUM('Liquidaciones'!K5:K34)</x:f>
        <x:v>43203129</x:v>
      </x:c>
      <x:c r="D11" s="89" t="str">
        <x:v>Sueldo bruto + comisiones - ausencias/reposos</x:v>
      </x:c>
      <x:c r="F11" s="135" t="str">
        <x:v>ESTADO DE LA CONCILIACIÓN</x:v>
      </x:c>
      <x:c r="G11" s="136"/>
      <x:c r="H11" s="136"/>
      <x:c r="I11" s="138" t="str">
        <x:f>IF(AND(I4=0,I5=0,I6=0,I7=0,I8=0,I9=0),"OK","REVISAR")</x:f>
        <x:v>REVISAR</x:v>
      </x:c>
    </x:row>
    <x:row r="13">
      <x:c r="A13" s="106" t="str">
        <x:v>Importante: un archivo debe contener solamente un mes. Los duplicados exactos se omiten automáticamente.</x:v>
      </x:c>
    </x:row>
  </x:sheetData>
  <x:mergeCells>
    <x:mergeCell ref="A1:D1"/>
    <x:mergeCell ref="A2:D2"/>
    <x:mergeCell ref="A13:D13"/>
    <x:mergeCell ref="F1:I1"/>
    <x:mergeCell ref="F11:H11"/>
  </x:mergeCells>
  <x:pageMargins left="0.7" right="0.7" top="0.75" bottom="0.75" header="0.3" footer="0.3"/>
</x:worksheet>
</file>